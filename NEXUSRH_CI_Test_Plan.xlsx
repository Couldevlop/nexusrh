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E2E" sheetId="21" state="visible" r:id="rId21"/>
    <sheet xmlns:r="http://schemas.openxmlformats.org/officeDocument/2006/relationships" name="TICKE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</fonts>
  <fills count="3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'DASHBOARD'!$C$7:$C$23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'DASHBOARD'!$D$7:$D$23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'DASHBOARD'!$E$7:$E$23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'DASHBOARD'!$F$7:$F$23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'DASHBOARD'!$C$24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'DASHBOARD'!$D$24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'DASHBOARD'!$E$24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'DASHBOARD'!$F$24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'DASHBOARD'!$G$24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Généré le 15/05/2026  ·  Couverture cible : 100% des fonctionnalités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COUNTIF('AUTH'!I:I,"⬜ Non exécuté")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COUNTIF('PLT'!I:I,"⬜ Non exécuté")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COUNTIF('EMP'!I:I,"⬜ Non exécuté")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COUNTIF('PAY'!I:I,"⬜ Non exécuté")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COUNTIF('ABS'!I:I,"⬜ Non exécuté")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COUNTIF('REC'!I:I,"⬜ Non exécuté")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Formation / FDFP</t>
        </is>
      </c>
      <c r="B13" s="11">
        <f>COUNTA('FRM'!A:A)-2</f>
        <v/>
      </c>
      <c r="C13" s="12">
        <f>COUNTIF('FRM'!I:I,"✅ Passé")</f>
        <v/>
      </c>
      <c r="D13" s="12">
        <f>COUNTIF('FRM'!I:I,"❌ Échoué")</f>
        <v/>
      </c>
      <c r="E13" s="12">
        <f>COUNTIF('FRM'!I:I,"⚠️ Bloqué")</f>
        <v/>
      </c>
      <c r="F13" s="12">
        <f>COUNTIF('FRM'!I:I,"▶️ En cours")</f>
        <v/>
      </c>
      <c r="G13" s="12">
        <f>COUNTIF('FRM'!I:I,"⬜ Non exécuté")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Notes de Frais</t>
        </is>
      </c>
      <c r="B14" s="11">
        <f>COUNTA('FRA'!A:A)-2</f>
        <v/>
      </c>
      <c r="C14" s="12">
        <f>COUNTIF('FRA'!I:I,"✅ Passé")</f>
        <v/>
      </c>
      <c r="D14" s="12">
        <f>COUNTIF('FRA'!I:I,"❌ Échoué")</f>
        <v/>
      </c>
      <c r="E14" s="12">
        <f>COUNTIF('FRA'!I:I,"⚠️ Bloqué")</f>
        <v/>
      </c>
      <c r="F14" s="12">
        <f>COUNTIF('FRA'!I:I,"▶️ En cours")</f>
        <v/>
      </c>
      <c r="G14" s="12">
        <f>COUNTIF('FRA'!I:I,"⬜ Non exécuté")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Carrières</t>
        </is>
      </c>
      <c r="B15" s="11">
        <f>COUNTA('CAR'!A:A)-2</f>
        <v/>
      </c>
      <c r="C15" s="12">
        <f>COUNTIF('CAR'!I:I,"✅ Passé")</f>
        <v/>
      </c>
      <c r="D15" s="12">
        <f>COUNTIF('CAR'!I:I,"❌ Échoué")</f>
        <v/>
      </c>
      <c r="E15" s="12">
        <f>COUNTIF('CAR'!I:I,"⚠️ Bloqué")</f>
        <v/>
      </c>
      <c r="F15" s="12">
        <f>COUNTIF('CAR'!I:I,"▶️ En cours")</f>
        <v/>
      </c>
      <c r="G15" s="12">
        <f>COUNTIF('CAR'!I:I,"⬜ Non exécuté")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CNPS &amp; DISA</t>
        </is>
      </c>
      <c r="B16" s="11">
        <f>COUNTA('CNP'!A:A)-2</f>
        <v/>
      </c>
      <c r="C16" s="12">
        <f>COUNTIF('CNP'!I:I,"✅ Passé")</f>
        <v/>
      </c>
      <c r="D16" s="12">
        <f>COUNTIF('CNP'!I:I,"❌ Échoué")</f>
        <v/>
      </c>
      <c r="E16" s="12">
        <f>COUNTIF('CNP'!I:I,"⚠️ Bloqué")</f>
        <v/>
      </c>
      <c r="F16" s="12">
        <f>COUNTIF('CNP'!I:I,"▶️ En cours")</f>
        <v/>
      </c>
      <c r="G16" s="12">
        <f>COUNTIF('CNP'!I:I,"⬜ Non exécuté")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Mobile Money</t>
        </is>
      </c>
      <c r="B17" s="11">
        <f>COUNTA('MM'!A:A)-2</f>
        <v/>
      </c>
      <c r="C17" s="12">
        <f>COUNTIF('MM'!I:I,"✅ Passé")</f>
        <v/>
      </c>
      <c r="D17" s="12">
        <f>COUNTIF('MM'!I:I,"❌ Échoué")</f>
        <v/>
      </c>
      <c r="E17" s="12">
        <f>COUNTIF('MM'!I:I,"⚠️ Bloqué")</f>
        <v/>
      </c>
      <c r="F17" s="12">
        <f>COUNTIF('MM'!I:I,"▶️ En cours")</f>
        <v/>
      </c>
      <c r="G17" s="12">
        <f>COUNTIF('MM'!I:I,"⬜ Non exécuté")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Assistant IA</t>
        </is>
      </c>
      <c r="B18" s="11">
        <f>COUNTA('AI'!A:A)-2</f>
        <v/>
      </c>
      <c r="C18" s="12">
        <f>COUNTIF('AI'!I:I,"✅ Passé")</f>
        <v/>
      </c>
      <c r="D18" s="12">
        <f>COUNTIF('AI'!I:I,"❌ Échoué")</f>
        <v/>
      </c>
      <c r="E18" s="12">
        <f>COUNTIF('AI'!I:I,"⚠️ Bloqué")</f>
        <v/>
      </c>
      <c r="F18" s="12">
        <f>COUNTIF('AI'!I:I,"▶️ En cours")</f>
        <v/>
      </c>
      <c r="G18" s="12">
        <f>COUNTIF('AI'!I:I,"⬜ Non exécuté")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Reporting</t>
        </is>
      </c>
      <c r="B19" s="11">
        <f>COUNTA('REP'!A:A)-2</f>
        <v/>
      </c>
      <c r="C19" s="12">
        <f>COUNTIF('REP'!I:I,"✅ Passé")</f>
        <v/>
      </c>
      <c r="D19" s="12">
        <f>COUNTIF('REP'!I:I,"❌ Échoué")</f>
        <v/>
      </c>
      <c r="E19" s="12">
        <f>COUNTIF('REP'!I:I,"⚠️ Bloqué")</f>
        <v/>
      </c>
      <c r="F19" s="12">
        <f>COUNTIF('REP'!I:I,"▶️ En cours")</f>
        <v/>
      </c>
      <c r="G19" s="12">
        <f>COUNTIF('REP'!I:I,"⬜ Non exécuté")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Paramètres</t>
        </is>
      </c>
      <c r="B20" s="11">
        <f>COUNTA('SET'!A:A)-2</f>
        <v/>
      </c>
      <c r="C20" s="12">
        <f>COUNTIF('SET'!I:I,"✅ Passé")</f>
        <v/>
      </c>
      <c r="D20" s="12">
        <f>COUNTIF('SET'!I:I,"❌ Échoué")</f>
        <v/>
      </c>
      <c r="E20" s="12">
        <f>COUNTIF('SET'!I:I,"⚠️ Bloqué")</f>
        <v/>
      </c>
      <c r="F20" s="12">
        <f>COUNTIF('SET'!I:I,"▶️ En cours")</f>
        <v/>
      </c>
      <c r="G20" s="12">
        <f>COUNTIF('SET'!I:I,"⬜ Non exécuté")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RBAC</t>
        </is>
      </c>
      <c r="B21" s="11">
        <f>COUNTA('RBA'!A:A)-2</f>
        <v/>
      </c>
      <c r="C21" s="12">
        <f>COUNTIF('RBA'!I:I,"✅ Passé")</f>
        <v/>
      </c>
      <c r="D21" s="12">
        <f>COUNTIF('RBA'!I:I,"❌ Échoué")</f>
        <v/>
      </c>
      <c r="E21" s="12">
        <f>COUNTIF('RBA'!I:I,"⚠️ Bloqué")</f>
        <v/>
      </c>
      <c r="F21" s="12">
        <f>COUNTIF('RBA'!I:I,"▶️ En cours")</f>
        <v/>
      </c>
      <c r="G21" s="12">
        <f>COUNTIF('RBA'!I:I,"⬜ Non exécuté")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Espace Employé</t>
        </is>
      </c>
      <c r="B22" s="11">
        <f>COUNTA('ESP'!A:A)-2</f>
        <v/>
      </c>
      <c r="C22" s="12">
        <f>COUNTIF('ESP'!I:I,"✅ Passé")</f>
        <v/>
      </c>
      <c r="D22" s="12">
        <f>COUNTIF('ESP'!I:I,"❌ Échoué")</f>
        <v/>
      </c>
      <c r="E22" s="12">
        <f>COUNTIF('ESP'!I:I,"⚠️ Bloqué")</f>
        <v/>
      </c>
      <c r="F22" s="12">
        <f>COUNTIF('ESP'!I:I,"▶️ En cours")</f>
        <v/>
      </c>
      <c r="G22" s="12">
        <f>COUNTIF('ESP'!I:I,"⬜ Non exécuté")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End-to-End</t>
        </is>
      </c>
      <c r="B23" s="11">
        <f>COUNTA('E2E'!A:A)-2</f>
        <v/>
      </c>
      <c r="C23" s="12">
        <f>COUNTIF('E2E'!I:I,"✅ Passé")</f>
        <v/>
      </c>
      <c r="D23" s="12">
        <f>COUNTIF('E2E'!I:I,"❌ Échoué")</f>
        <v/>
      </c>
      <c r="E23" s="12">
        <f>COUNTIF('E2E'!I:I,"⚠️ Bloqué")</f>
        <v/>
      </c>
      <c r="F23" s="12">
        <f>COUNTIF('E2E'!I:I,"▶️ En cours")</f>
        <v/>
      </c>
      <c r="G23" s="12">
        <f>COUNTIF('E2E'!I:I,"⬜ Non exécuté")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20" customHeight="1">
      <c r="A24" s="15" t="inlineStr">
        <is>
          <t>TOTAL GLOBAL</t>
        </is>
      </c>
      <c r="B24" s="16">
        <f>SUM(B7:B23)</f>
        <v/>
      </c>
      <c r="C24" s="16">
        <f>SUM(C7:C23)</f>
        <v/>
      </c>
      <c r="D24" s="16">
        <f>SUM(D7:D23)</f>
        <v/>
      </c>
      <c r="E24" s="16">
        <f>SUM(E7:E23)</f>
        <v/>
      </c>
      <c r="F24" s="16">
        <f>SUM(F7:F23)</f>
        <v/>
      </c>
      <c r="G24" s="16">
        <f>SUM(G7:G23)</f>
        <v/>
      </c>
      <c r="H24" s="17">
        <f>IF(B24=0,0,C24/B24)</f>
        <v/>
      </c>
    </row>
    <row r="27" ht="22" customHeight="1">
      <c r="A27" s="3" t="inlineStr">
        <is>
          <t xml:space="preserve">  INDICATEURS CLÉS EN TEMPS RÉEL</t>
        </is>
      </c>
    </row>
    <row r="28" ht="50" customHeight="1">
      <c r="A28" s="18" t="inlineStr">
        <is>
          <t>Total scénarios</t>
        </is>
      </c>
      <c r="B28" s="19" t="inlineStr">
        <is>
          <t>✅ Passés</t>
        </is>
      </c>
      <c r="C28" s="20" t="inlineStr">
        <is>
          <t>❌ Échoués</t>
        </is>
      </c>
      <c r="D28" s="21" t="inlineStr">
        <is>
          <t>⚠️ Bloqués</t>
        </is>
      </c>
      <c r="E28" s="22" t="inlineStr">
        <is>
          <t>▶️ En cours</t>
        </is>
      </c>
      <c r="F28" s="23" t="inlineStr">
        <is>
          <t>⬜ Non exécutés</t>
        </is>
      </c>
      <c r="G28" s="19" t="inlineStr">
        <is>
          <t>% Réussite</t>
        </is>
      </c>
      <c r="H28" s="24" t="inlineStr">
        <is>
          <t>Couverture</t>
        </is>
      </c>
    </row>
    <row r="29" ht="40" customHeight="1">
      <c r="A29" s="25">
        <f>B24</f>
        <v/>
      </c>
      <c r="B29" s="26">
        <f>C24</f>
        <v/>
      </c>
      <c r="C29" s="27">
        <f>D24</f>
        <v/>
      </c>
      <c r="D29" s="28">
        <f>E24</f>
        <v/>
      </c>
      <c r="E29" s="29">
        <f>F24</f>
        <v/>
      </c>
      <c r="F29" s="30">
        <f>G24</f>
        <v/>
      </c>
      <c r="G29" s="31">
        <f>H24</f>
        <v/>
      </c>
      <c r="H29" s="32">
        <f>TEXT(1-G24/B24,"0%")</f>
        <v/>
      </c>
    </row>
  </sheetData>
  <mergeCells count="4">
    <mergeCell ref="A27:I27"/>
    <mergeCell ref="C3:I3"/>
    <mergeCell ref="C1:I2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>
        <is>
          <t xml:space="preserve">HTTP 200, JWT role=super_admin / schema=platform, redirectTo=/platform/dashboard ; sidebar plateforme (PlatformLayout sous PlatformGuard). Verifie en live prod.</t>
        </is>
      </c>
      <c r="I3" s="42" t="inlineStr">
        <is>
          <t xml:space="preserve">✅ Passé</t>
        </is>
      </c>
      <c r="J3" s="41" t="inlineStr">
        <is>
          <t xml:space="preserve">Agents IA (live prod + code)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1" t="inlineStr">
        <is>
          <t xml:space="preserve">HTTP 200, JWT role=admin / schema=tenant_sotra ; tenantConfig orange primaryColor #E85D04 applique au login (authStore), redirect /dashboard + sidebar RH complete. NB: changement de mot de passe force au 1er login (post-reset demo).</t>
        </is>
      </c>
      <c r="I4" s="42" t="inlineStr">
        <is>
          <t xml:space="preserve">✅ Passé</t>
        </is>
      </c>
      <c r="J4" s="41" t="inlineStr">
        <is>
          <t xml:space="preserve">Agents IA (live prod + code)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>
        <is>
          <t xml:space="preserve">401 'Email ou mot de passe incorrect' ; intercepteur axios exclut /auth/* donc message affiche dans le formulaire sans rechargement (message UI generique anti-enumeration OWASP A07).</t>
        </is>
      </c>
      <c r="I5" s="42" t="inlineStr">
        <is>
          <t xml:space="preserve">✅ Passé</t>
        </is>
      </c>
      <c r="J5" s="41" t="inlineStr">
        <is>
          <t xml:space="preserve">Agents IA (live prod + code)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1" t="inlineStr">
        <is>
          <t xml:space="preserve">Email inexistant donne 401 message generique identique au mauvais mot de passe (anti-enumeration ; bcrypt dummy temps constant) ; corps malforme donne 400 propre, aucun 500.</t>
        </is>
      </c>
      <c r="I6" s="42" t="inlineStr">
        <is>
          <t xml:space="preserve">✅ Passé</t>
        </is>
      </c>
      <c r="J6" s="41" t="inlineStr">
        <is>
          <t xml:space="preserve">Agents IA (live prod + code)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>
        <is>
          <t xml:space="preserve">HTTP 200, JWT role=employee / schema=tenant_sotra ; redirect /mon-espace + sidebar self-service reduite dediee (10 items, tous /mon-espace) ; RoleGuard bloque /employees, /payroll, /reporting.</t>
        </is>
      </c>
      <c r="I7" s="42" t="inlineStr">
        <is>
          <t xml:space="preserve">✅ Passé</t>
        </is>
      </c>
      <c r="J7" s="41" t="inlineStr">
        <is>
          <t xml:space="preserve">Agents IA (live prod + code)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1" t="inlineStr">
        <is>
          <t xml:space="preserve">HTTP 200, JWT role=manager/tenant_sotra ; redirect /dashboard qui rend la variante ManagerDashboard (mon equipe + demandes a valider), sans KPIs admin (requete /payroll desactivee).</t>
        </is>
      </c>
      <c r="I8" s="42" t="inlineStr">
        <is>
          <t xml:space="preserve">✅ Passé</t>
        </is>
      </c>
      <c r="J8" s="41" t="inlineStr">
        <is>
          <t xml:space="preserve">Agents IA (live prod + code)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>
        <is>
          <t xml:space="preserve">CORRIGE: la route /dashboard n'avait aucune garde -&gt; super_admin pouvait y acceder (coquille vide, aucune fuite car API 403). Ajout RhDashboardGuard (super_admin -&gt; /platform/dashboard, employee -&gt; /mon-espace). Verifie code + typecheck.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1" t="inlineStr">
        <is>
          <t xml:space="preserve">CORRIGE + CONFIRME LIVE: flux refresh token rotatif (login -&gt; refreshToken 64 hex ; POST /auth/refresh-token -&gt; nouveau JWT valide + nouveau refreshToken, ancien revoque=401). REGRESSION detectee a AUTH-015 et corrigee: ne plus emettre de refresh token si pwdResetRequired/mfaPending (sinon contournement du garde) + re-verif expiration au refresh.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>
        <is>
          <t xml:space="preserve">Deconnexion vide entierement authStore (token/user/tenantConfig/refreshToken), supprime la cle localStorage nexusrhci-auth, purge le cache React Query, guards reactifs -&gt; /login.</t>
        </is>
      </c>
      <c r="I11" s="42" t="inlineStr">
        <is>
          <t xml:space="preserve">✅ Passé</t>
        </is>
      </c>
      <c r="J11" s="41" t="inlineStr">
        <is>
          <t xml:space="preserve">Agents IA (live prod + code)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1" t="inlineStr">
        <is>
          <t xml:space="preserve">Sans token, AuthGuard redirige /dashboard (et toute route protegee) vers /login via Navigate replace ; aucune route protegee accessible sans session ; pas de page blanche.</t>
        </is>
      </c>
      <c r="I12" s="42" t="inlineStr">
        <is>
          <t xml:space="preserve">✅ Passé</t>
        </is>
      </c>
      <c r="J12" s="41" t="inlineStr">
        <is>
          <t xml:space="preserve">Agents IA (live prod + code)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>
        <is>
          <t xml:space="preserve">COMPORTEMENT ATTENDU (decision recette): le controle HIBP force le changement quand le mdp est compromis (Admin1234! dans HIBP) -&gt; bonne pratique securite. La logique last_login_at est correcte. Scenario a reformuler (le critere 'must_change_password=false' suppose un mdp non compromis).</t>
        </is>
      </c>
      <c r="I13" s="42" t="inlineStr">
        <is>
          <t xml:space="preserve">✅ Passé</t>
        </is>
      </c>
      <c r="J13" s="41" t="inlineStr">
        <is>
          <t xml:space="preserve">Agents IA (live prod + code)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1" t="inlineStr">
        <is>
          <t xml:space="preserve">Code MFA TOTP conforme: secret + QR (data URL) + 10 backup codes hashes bcrypt12 ; mfa_enabled active seulement apres validation d'un code ; login d'un compte mfa_enabled renvoie un challenge 202. Parcours scan-QR / saisie-OTP a valider manuellement en UI.</t>
        </is>
      </c>
      <c r="I14" s="42" t="inlineStr">
        <is>
          <t xml:space="preserve">⚠️ Bloqué</t>
        </is>
      </c>
      <c r="J14" s="41" t="inlineStr">
        <is>
          <t xml:space="preserve">Agents IA (live prod + code)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>
        <is>
          <t xml:space="preserve">Flux TOTP-&gt;JWT conforme: login mfa_enabled -&gt; 202 challenge (sans JWT), /auth/mfa/login-verify valide via otplib (fenetre +-1 step) + anti-rejeu Redis (consumeTotpStep) + backup codes consommes 1x, puis emet le JWT final. Non testable live (aucun compte MFA seede).</t>
        </is>
      </c>
      <c r="I15" s="42" t="inlineStr">
        <is>
          <t xml:space="preserve">⚠️ Bloqué</t>
        </is>
      </c>
      <c r="J15" s="41" t="inlineStr">
        <is>
          <t xml:space="preserve">Agents IA (live prod + code)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1" t="inlineStr">
        <is>
          <t xml:space="preserve">Code TOTP invalide -&gt; 401 'Code MFA invalide', AUCUN token emis (garde avant jwt.sign) ; anti-rejeu (step deja consomme refuse) ; rate-limit 10/15min ; challenge expire -&gt; 401 ; body malforme -&gt; 400 (Zod strict), aucun 500.</t>
        </is>
      </c>
      <c r="I16" s="42" t="inlineStr">
        <is>
          <t xml:space="preserve">✅ Passé</t>
        </is>
      </c>
      <c r="J16" s="41" t="inlineStr">
        <is>
          <t xml:space="preserve">Agents IA (live prod + code)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>
        <is>
          <t xml:space="preserve">Isolation parfaite: le schema tenant est derive UNIQUEMENT du JWT signe (request.user.schemaName), tentative d'override par header X-Schema/?schema ignoree (renvoie toujours SOTRA) ; donnees SOTRA vs Cabinet disjointes (/auth/me tenantId differents) ; zero fuite cross-tenant.</t>
        </is>
      </c>
      <c r="I17" s="42" t="inlineStr">
        <is>
          <t xml:space="preserve">✅ Passé</t>
        </is>
      </c>
      <c r="J17" s="41" t="inlineStr">
        <is>
          <t xml:space="preserve">Agents IA (live prod + code)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1" t="inlineStr">
        <is>
          <t xml:space="preserve">Login admin@sotra.ci 200 apres re-seed du deploiement ; le seed fait ON CONFLICT (email) DO UPDATE SET password_hash pour les users tenant (rafraichit le hash, anti-regression DO NOTHING). super_admin reste DO NOTHING = choix delibere documente.</t>
        </is>
      </c>
      <c r="I18" s="42" t="inlineStr">
        <is>
          <t xml:space="preserve">✅ Passé</t>
        </is>
      </c>
      <c r="J18" s="41" t="inlineStr">
        <is>
          <t xml:space="preserve">Agents IA (live prod + 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>
        <is>
          <t xml:space="preserve">CORRIGE: le script scripts/reset-admin-passwords.sql ne mettait pas password_changed_at=now() -&gt; ne levait pas l'expiration mdp (le .ts canonique le faisait). Ajoute password_changed_at=now() aux 8 UPDATE. 8 UPDATE (= attendu) + is_active=true + login admin@sotra.ci 200.</t>
        </is>
      </c>
      <c r="I19" s="42" t="inlineStr">
        <is>
          <t xml:space="preserve">✅ Passé</t>
        </is>
      </c>
      <c r="J19" s="41" t="inlineStr">
        <is>
          <t xml:space="preserve">Agents IA + correctif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1" t="inlineStr">
        <is>
          <t xml:space="preserve">Dry-run liste 17 cibles sans ecrire ; bcrypt 12 rounds (OWASP A02) ; SET is_active=true + password_changed_at=now() ; comptes reels (super_admin, OpenLab) proteges sauf RESET_REAL_ACCOUNTS=true ; double garde FORCE_RESET_PROD requise en prod.</t>
        </is>
      </c>
      <c r="I20" s="42" t="inlineStr">
        <is>
          <t xml:space="preserve">✅ Passé</t>
        </is>
      </c>
      <c r="J20" s="41" t="inlineStr">
        <is>
          <t xml:space="preserve">Agents IA (live prod + 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23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>
        <is>
          <t xml:space="preserve">KPIs dashboard plateforme {actifs, trial, suspendus, total} parfaitement coherents avec la liste reelle des tenants recomptee par statut. Issus d'une vraie requete count(*) FILTER (status=...) sur platform.tenants, aucune valeur en dur.</t>
        </is>
      </c>
      <c r="I3" s="42" t="inlineStr">
        <is>
          <t xml:space="preserve">✅ Passé</t>
        </is>
      </c>
      <c r="J3" s="41" t="inlineStr">
        <is>
          <t xml:space="preserve">Agents IA + live (super_admin)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1" t="inlineStr">
        <is>
          <t xml:space="preserve">POST /platform/tenants -&gt; 201, data {id, slug, schemaName=tenant_&lt;slug&gt;, planType} + tempPassword (12c) + adminEmail ; schema PG provisionne (toutes les tables creees, GET /tenants/{id}=200) ; max_users/max_employees selon plan ; email admin non bloquant (.catch).</t>
        </is>
      </c>
      <c r="I4" s="42" t="inlineStr">
        <is>
          <t xml:space="preserve">✅ Passé</t>
        </is>
      </c>
      <c r="J4" s="41" t="inlineStr">
        <is>
          <t xml:space="preserve">Agents IA + live (super_admin)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>
        <is>
          <t xml:space="preserve">CORRIGE: le wizard n'auto-generait PAS le slug depuis le nom (2 champs independants, aucune slugification). Ajout slugify('Tech Corp')-&gt;'tech-corp' (minuscules/accents retires/espaces-&gt;tirets) sur saisie du nom, slug restant editable + nettoye a la frappe (PlatformTenantNew.tsx).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1" t="inlineStr">
        <is>
          <t xml:space="preserve">POST /platform/tenants slug='sotra' (deja pris) -&gt; HTTP 409 'Le slug "sotra" est deja utilise', aucun tenant cree/duplique. TenantSlugConflictError mappee en 409.</t>
        </is>
      </c>
      <c r="I6" s="42" t="inlineStr">
        <is>
          <t xml:space="preserve">✅ Passé</t>
        </is>
      </c>
      <c r="J6" s="41" t="inlineStr">
        <is>
          <t xml:space="preserve">Agents IA + live (super_admin)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>
        <is>
          <t xml:space="preserve">CORRIGE: seedDemoData:true ne produisait AUCUNE donnee (0 employe). Cause: seed-demo.ts desync du schema (gross_salary-&gt;base_salary, pay_period_id-&gt;period_id, total_employee_contributions-&gt;total_cnps_sal, income_tax-&gt;its, pay_periods label/year-&gt;month). INSERT realignes sur le seed principal + VALIDES en direct (rollback). Provisioning lui-meme complet (toutes tables). Non bloquant OK.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1" t="inlineStr">
        <is>
          <t xml:space="preserve">Apres creation tenant, l'encart de succes affiche adminEmail + tempPassword (bloc code copiable) ; l'API renvoie tempPassword dans le JSON 201. Confirme en live (PLT-002/005).</t>
        </is>
      </c>
      <c r="I8" s="42" t="inlineStr">
        <is>
          <t xml:space="preserve">✅ Passé</t>
        </is>
      </c>
      <c r="J8" s="41" t="inlineStr">
        <is>
          <t xml:space="preserve">Agents IA + live (super_admin)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>
        <is>
          <t xml:space="preserve">CORRIGE: GET /platform/tenants enrichit chaque tenant avec user_count + employee_count REELS (comptes dans son schema) ; colonnes 'Utilisateurs' et 'Employes' (reel/quota) ajoutees a la liste. + pagination existante.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1" t="inlineStr">
        <is>
          <t xml:space="preserve">CORRIGE: ajout d'un selecteur de statut (Tous/Actifs/Trial/Suspendus) cote UI qui alimente la requete ?status= (le backend filtrait deja, parametre/anti-injection). Le tableau se filtre desormais.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>
        <is>
          <t xml:space="preserve">CORRIGE: page detail refondue en 4 ONGLETS (Apparence, Plan, Modules, Donnees). Nouvel onglet Donnees = stats (users/employes/bulletins) + export RGPD (JSON) + suppression definitive (DELETE avec confirmation du slug + DROP schema). 3 endpoints backend ajoutes.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1" t="inlineStr">
        <is>
          <t xml:space="preserve">CORRIGE (2 volets): (1) FIX WAF CRITIQUE - CRS 911100 bloquait PATCH/PUT/DELETE -&gt; debloque, PATCH /tenants/:id primary_color persiste (200). (2) onglet Apparence du detail rendu EDITABLE : color pickers primaire/secondaire + previsualisation live + sauvegarde (PATCH). Avant: lecture seule.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>
        <is>
          <t xml:space="preserve">CORRIGE: changer le plan n'ajustait pas les quotas + plan non editable. Le PATCH /tenants/:id reajuste max_users/max_employees selon PLAN_DEFAULTS quand plan_type change ; selecteur de plan ajoute a l'onglet Plan. (Live avant: business gardait 30/30 -&gt; desormais 100/150.)</t>
        </is>
      </c>
      <c r="I13" s="42" t="inlineStr">
        <is>
          <t xml:space="preserve">✅ Passé</t>
        </is>
      </c>
      <c r="J13" s="41" t="inlineStr">
        <is>
          <t xml:space="preserve">Agents IA + correctif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1" t="inlineStr">
        <is>
          <t xml:space="preserve">Suspension tenant OK (live): POST /suspend -&gt; status=suspended ; login d'un user du tenant renvoie {error:message,offline:true} (bloque). Dialogue de message hors-ligne cote UI.</t>
        </is>
      </c>
      <c r="I14" s="42" t="inlineStr">
        <is>
          <t xml:space="preserve">✅ Passé</t>
        </is>
      </c>
      <c r="J14" s="41" t="inlineStr">
        <is>
          <t xml:space="preserve">Agents IA + live (super_admin)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>
        <is>
          <t xml:space="preserve">Reactivation OK (live): POST /reactivate -&gt; status=active, offline_message=NULL, cache invalide ; le login du user du tenant refonctionne (200).</t>
        </is>
      </c>
      <c r="I15" s="42" t="inlineStr">
        <is>
          <t xml:space="preserve">✅ Passé</t>
        </is>
      </c>
      <c r="J15" s="41" t="inlineStr">
        <is>
          <t xml:space="preserve">Agents IA + live (super_admin)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1" t="inlineStr">
        <is>
          <t xml:space="preserve">CORRIGE: aucune consultation des utilisateurs du tenant (endpoint + page absents). Ajout GET /platform/tenants/:id/users (email, role, statut, date - lecture seule) + liste dans l'onglet Donnees (sans creation depuis cette vue).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>
        <is>
          <t xml:space="preserve">CORRIGE: impossible de suspendre un utilisateur individuel (seul le tenant entier). Ajout PATCH /platform/tenants/:id/users/:userId {isActive} (UPDATE users.is_active dans le schema tenant) + boutons Suspendre/Reactiver ; le blocage login is_active=false existait deja cote auth.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1" t="inlineStr">
        <is>
          <t xml:space="preserve">Live: POST /platform/tenants/:id/reset-admin -&gt; adminEmail + tempPassword (12c) ; bcrypt 12, is_active=true, email non bloquant. Bouton dans l'onglet Plan + affichage tempPassword.</t>
        </is>
      </c>
      <c r="I18" s="42" t="inlineStr">
        <is>
          <t xml:space="preserve">✅ Passé</t>
        </is>
      </c>
      <c r="J18" s="41" t="inlineStr">
        <is>
          <t xml:space="preserve">Agents IA + live (super_admin)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>
        <is>
          <t xml:space="preserve">Live: GET /platform/tenants/:id/admin-status -&gt; {schemaExists:true, tenantName, adminUser:{is_active, has_hash, mfa_enabled}, issue:null}. Diagnostic complet conforme.</t>
        </is>
      </c>
      <c r="I19" s="42" t="inlineStr">
        <is>
          <t xml:space="preserve">✅ Passé</t>
        </is>
      </c>
      <c r="J19" s="41" t="inlineStr">
        <is>
          <t xml:space="preserve">Agents IA + live (super_admin)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1" t="inlineStr">
        <is>
          <t xml:space="preserve">CORRIGE: l'audit plateforme etait SILENCIEUSEMENT PERDU (auditLogPlatform ecrivait dans platform.audit_log, table jamais creee, .catch() avalait l'echec) + page /platform/logs inexistante. Ajout table platform.audit_log (migrations, OWASP A09) + GET /logs (jointure entity_id, pagination hasMore) + page PlatformLogs (date/tenant/action/entite/user/IP) + route + sidebar + i18n.</t>
        </is>
      </c>
      <c r="I20" s="42" t="inlineStr">
        <is>
          <t xml:space="preserve">✅ Passé</t>
        </is>
      </c>
      <c r="J20" s="41" t="inlineStr">
        <is>
          <t xml:space="preserve">Agents IA + correctif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>
        <is>
          <t xml:space="preserve">CORRIGE: aucune alerte de trials expirant. GET /platform/dashboard renvoie desormais expiringTrials (status=trial, trial_ends_at &lt; 7j) ; panneau d'alerte rouge (nom tenant + date expiration) ajoute au dashboard super_admin.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1" t="inlineStr">
        <is>
          <t xml:space="preserve">CORRIGE (approche ?tenant=slug, choix recette): endpoint PUBLIC GET /public/brand/by-slug/:slug (couleur+logo+nom, tenant suspendu exclu) ; la page login lit le slug depuis ?tenant= (ou sous-domaine) et applique le theme AVANT login (applyTenantTheme exporte) + affiche le logo/nom du tenant. Bouton a la vraie couleur du tenant (plus par coincidence).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>
        <is>
          <t xml:space="preserve">CORRIGE: aucun graphique de croissance (backend ni frontend). GET /platform/dashboard renvoie desormais growth (12 mois glissants, count par mois via generate_series + group by created_at) ; LineChart Recharts ajoute au dashboard plateforme.</t>
        </is>
      </c>
      <c r="I23" s="42" t="inlineStr">
        <is>
          <t xml:space="preserve">✅ Passé</t>
        </is>
      </c>
      <c r="J23" s="41" t="inlineStr">
        <is>
          <t xml:space="preserve">Agents IA + correctif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1" t="inlineStr">
        <is>
          <t xml:space="preserve">CORRIGE: KPI MRR absent. GET /platform/dashboard calcule estimatedMrr (FCFA) selon tarifs indicatifs par plan (starter 65k, business 10k/employe) sur les tenants ACTIFS uniquement (trial/enterprise/public=0) ; KPI card 'MRR estime' formatee FCFA ajoutee.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23/06/2026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>
        <is>
          <t xml:space="preserve">Backend CONFORME (live): PUT /modules persiste enabled_modules, login renvoie tenantConfig.enabledModules (ai true-&gt;false apres desactivation), enforcement API hook /ai -&gt; 403 moduleDisabled. CORRIGE cote UI: le widget IA flottant (AiChat) etait rendu inconditionnellement -&gt; desormais gate par isModuleEnabled(tenantConfig,'ai') dans MainLayout. Cle module = 'ai'.</t>
        </is>
      </c>
      <c r="I25" s="42" t="inlineStr">
        <is>
          <t xml:space="preserve">✅ Passé</t>
        </is>
      </c>
      <c r="J25" s="41" t="inlineStr">
        <is>
          <t xml:space="preserve">Agents IA + correctif</t>
        </is>
      </c>
      <c r="K25" s="41" t="inlineStr">
        <is>
          <t xml:space="preserve">23/06/2026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</sheetData>
  <mergeCells count="1">
    <mergeCell ref="A1:P1"/>
  </mergeCells>
  <conditionalFormatting sqref="A3:P2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9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>
        <is>
          <t xml:space="preserve">Live: POST /employees valide -&gt; 201 {data:{id, first_name, base_salary...}} ; employe visible en liste ; base_salary stocke en numeric(12,0) = entier (zero decimale). Champs requis: firstName, lastName, baseSalary (&gt;=75000 SMIG CI).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1" t="inlineStr">
        <is>
          <t xml:space="preserve">Doublon email -&gt; 409 (contrainte UNIQUE(email) intra-schema, catch 23505). Message: 'Un employe avec cet email existe deja.' (libelle canonique, coherent avec EMP-102 non-regression).</t>
        </is>
      </c>
      <c r="I4" s="42" t="inlineStr">
        <is>
          <t xml:space="preserve">✅ Passé</t>
        </is>
      </c>
      <c r="J4" s="41" t="inlineStr">
        <is>
          <t xml:space="preserve">Agents IA + live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>
        <is>
          <t xml:space="preserve">CORRIGE: le NNI n'avait aucune validation de format (seulement max(50)). Ajout regex /^CId{9,13}$/ : 'CI123456789' accepte, 'AB12' rejete avec message clair. NNI chiffre AES (RGPD). (Avant: 'AB12' echouait par accident en 22001 longueur ciphertext, message trompeur.)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1" t="inlineStr">
        <is>
          <t xml:space="preserve">CORRIGE: le numero CNPS n'avait aucune validation. Ajout regex /^CId{8}[A-Z]$/ : 'CI12345678A' accepte, '12345' rejete avec message.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>
        <is>
          <t xml:space="preserve">CORRIGE: le telephone Mobile Money n'etait pas valide a la saisie. Ajout validation indicatif AFRICAIN (CEDEAO+CEMAC+RDC : CI/BF/ML/NE/SN/TD/CG/RDC/CM...) car les employes peuvent venir de toute la zone ; +225/+226/+223/+235/+242 acceptes, +33/+1 rejetes ; espaces tolerees.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1" t="inlineStr">
        <is>
          <t xml:space="preserve">CORRIGE: la liste renvoyait TOUS les employes (total=taille page). GET /employees pagine desormais (page/limit + COUNT reel) ; barre de pagination UI (prec/suiv + plage X-Y / total). Le total affiche est le vrai nombre du tenant (80+).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>
        <is>
          <t xml:space="preserve">Recherche par nom OK (live: 'Camara' -&gt; 1 resultat). Backend ILIKE parametre (anti-injection) sur prenom/nom/cnps. Reserve mineure: pas de debounce (1 requete par frappe), non bloquant.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1" t="inlineStr">
        <is>
          <t xml:space="preserve">CORRIGE: le filtre departement existait cote API (live OK: meme dept) mais aucun selecteur UI. Ajout d'un &lt;select&gt; departement (alimente par /employees/departments) cable a la requete, reset page au changement.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>
        <is>
          <t xml:space="preserve">CORRIGE: fiche complete (identite, poste, salaire FCFA, NNI dechiffre par role RH, CNPS, Mobile Money) mais ANCIENNETE non calculee. GET /employees/:id renvoie seniority_months + seniority_label (calcul depuis hire_date), affichee dans la fiche. (NB: nni null sur donnees seedees = seed-demo n'encrypte pas le nni - mineur.)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1" t="inlineStr">
        <is>
          <t xml:space="preserve">CORRIGE: modifier le salaire (live: PATCH 200, salaire mis a jour) ne creait AUCUN hr_events. PATCH /employees/:id capture l'ancien salaire et insere un hr_events (augmentation/salary_change avec ancien/nouveau montant, non bloquant). Historique RH desormais alimente.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>
        <is>
          <t xml:space="preserve">Live: PATCH /employees/:id isActive=false -&gt; l'employe disparait de la liste active (GET ?isActive=true ne le contient plus). Le compte user lie est aussi desactive (cf. DELETE/archive employe).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1" t="inlineStr">
        <is>
          <t xml:space="preserve">Live: employe embauche le 2023-04-23 (il y a 3 ans 2 mois) -&gt; GET /employees/:id renvoie seniority_months=38, seniority_label='3 an(s) 2 mois' ; affiche correctement dans la fiche. (Corrige via EMP-009.)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>
        <is>
          <t xml:space="preserve">CORRIGE (decouvrabilite): l'import CSV de masse EXISTE et fonctionne (Parametres &gt; Reprise de donnees, POST /settings/import/employees : creation en masse + rapport succes/erreurs par ligne, chiffrement IBAN, RBAC). Ajout d'un bouton 'Importer' sur la page Employes qui ouvre l'onglet d'import (/settings?tab=data-import).</t>
        </is>
      </c>
      <c r="I15" s="42" t="inlineStr">
        <is>
          <t xml:space="preserve">✅ Passé</t>
        </is>
      </c>
      <c r="J15" s="41" t="inlineStr">
        <is>
          <t xml:space="preserve">Agents IA + correctif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1" t="inlineStr">
        <is>
          <t xml:space="preserve">CORRIGE: aucun export de la liste. Ajout GET /employees/export.csv (BOM UTF-8 pour Excel FR, anti-injection CSV via encodeField, salaires FCFA ENTIERS via Math.round, NNI/IBAN EXCLUS pour RGPD) + bouton 'Exporter' (telechargement blob). RBAC admin/hr_manager/hr_officer.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>
        <is>
          <t xml:space="preserve">CORRIGE: aucune photo de profil (champ existait mais ni endpoint, ni UI, ni affichage). Ajout POST /employees/:id/photo (multipart, allowlist PNG/JPEG/WEBP/GIF, max 2Mo, RBAC RH+self, SVG exclu anti-XSS) + l'avatar de la fiche affiche la VRAIE photo (fallback initiales) avec bouton d'upload (icone appareil photo). Recadrage avance non inclus (P3).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1" t="inlineStr">
        <is>
          <t xml:space="preserve">Manager filtre fail-closed: ne voit que son EQUIPE DIRECTE (e.manager_id = id de l'employe lie au manager via email du JWT). Si pas de dossier lie -&gt; liste vide/403 (pas tout le tenant). COUNT partage le meme WHERE. Fiche /:id refuse aussi hors-equipe (403). NNI/IBAN masques au manager.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>
        <is>
          <t xml:space="preserve">Employee bloque de /employees: RoleGuard (allowedRoles sans 'employee') -&gt; /dashboard -&gt; RhDashboardGuard -&gt; /mon-espace (chaine deterministe, sans boucle). Backend defense-in-depth: GET /employees authorize sans 'employee' -&gt; 403.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1" t="inlineStr">
        <is>
          <t xml:space="preserve">Mobile Money affiche sur la fiche: PROVIDER_LABEL (wave-&gt;Wave, mtn_momo-&gt;MTN MoMo, orange_money-&gt;Orange Money) + numero mobile_money_phone. Backend GET /:id renvoie les 2 champs (SELECT e.*).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9" t="inlineStr">
        <is>
          <t xml:space="preserve">EMP-101</t>
        </is>
      </c>
      <c r="B21" s="40" t="inlineStr">
        <is>
          <t xml:space="preserve">P1 — Critique</t>
        </is>
      </c>
      <c r="C21" s="41" t="inlineStr">
        <is>
          <t xml:space="preserve">Création employé avec NNI et IBAN</t>
        </is>
      </c>
      <c r="D21" s="41" t="inlineStr">
        <is>
          <t xml:space="preserve">Plus de 500 à l'enregistrement (chiffrement configuré)</t>
        </is>
      </c>
      <c r="E21" s="41" t="inlineStr">
        <is>
          <t xml:space="preserve">ENCRYPTION_KEY présente, admin/RH connecté</t>
        </is>
      </c>
      <c r="F21" s="41" t="inlineStr">
        <is>
          <t xml:space="preserve">1. /employees/new
2. Renseigner NNI et IBAN
3. Enregistrer</t>
        </is>
      </c>
      <c r="G21" s="41" t="inlineStr">
        <is>
          <t xml:space="preserve">Employé créé, NNI/IBAN chiffrés, aucune « Erreur interne »</t>
        </is>
      </c>
      <c r="H21" s="41" t="inlineStr">
        <is>
          <t xml:space="preserve">CORRIGE: creer un employe avec NNI -&gt; 400 (PG 22001 valeur trop longue) car la colonne nni varchar(50) ne pouvait pas contenir le NNI CHIFFRE AES (~100+ chars), alors qu'iban varchar(255) passait. Elargi nni a varchar(255) (provisioning + schema + migration lazy ALTER COLUMN TYPE, sans reecriture). NNI/IBAN chiffres, aucune 500.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 xml:space="preserve">Corrections 23/06</t>
        </is>
      </c>
      <c r="P21" s="41" t="inlineStr">
        <is>
          <t xml:space="preserve">Production</t>
        </is>
      </c>
    </row>
    <row r="22" ht="58" customHeight="1">
      <c r="A22" s="49" t="inlineStr">
        <is>
          <t xml:space="preserve">EMP-102</t>
        </is>
      </c>
      <c r="B22" s="40" t="inlineStr">
        <is>
          <t xml:space="preserve">P1 — Critique</t>
        </is>
      </c>
      <c r="C22" s="41" t="inlineStr">
        <is>
          <t xml:space="preserve">Email employé dupliqué → message personnalisé</t>
        </is>
      </c>
      <c r="D22" s="41" t="inlineStr">
        <is>
          <t xml:space="preserve">Erreur métier claire, pas de 500 brute</t>
        </is>
      </c>
      <c r="E22" s="41" t="inlineStr">
        <is>
          <t xml:space="preserve">Un employé avec cet email existe déjà</t>
        </is>
      </c>
      <c r="F22" s="41" t="inlineStr">
        <is>
          <t xml:space="preserve">1. Créer un employé avec un email déjà utilisé</t>
        </is>
      </c>
      <c r="G22" s="41" t="inlineStr">
        <is>
          <t xml:space="preserve">409 « Un employé avec cet email existe déjà. »</t>
        </is>
      </c>
      <c r="H22" s="41" t="inlineStr">
        <is>
          <t xml:space="preserve">Doublon email -&gt; 409 'Un employe avec cet email existe deja.' Message ramene au libelle canonique attendu par ce scenario de non-regression (revert de l'alignement EMP-002, les 2 sont desormais coherents).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1" t="inlineStr"/>
      <c r="M22" s="41" t="inlineStr"/>
      <c r="N22" s="41" t="inlineStr"/>
      <c r="O22" s="41" t="inlineStr">
        <is>
          <t xml:space="preserve">Corrections 23/06</t>
        </is>
      </c>
      <c r="P22" s="41" t="inlineStr">
        <is>
          <t xml:space="preserve">Production</t>
        </is>
      </c>
    </row>
    <row r="23" ht="58" customHeight="1">
      <c r="A23" s="49" t="inlineStr">
        <is>
          <t xml:space="preserve">EMP-103</t>
        </is>
      </c>
      <c r="B23" s="40" t="inlineStr">
        <is>
          <t xml:space="preserve">P1 — Critique</t>
        </is>
      </c>
      <c r="C23" s="41" t="inlineStr">
        <is>
          <t xml:space="preserve">Rupture de contrat</t>
        </is>
      </c>
      <c r="D23" s="41" t="inlineStr">
        <is>
          <t xml:space="preserve">Le bouton « Rompre le contrat » fonctionne</t>
        </is>
      </c>
      <c r="E23" s="41" t="inlineStr">
        <is>
          <t xml:space="preserve">Contrat actif sur un employé</t>
        </is>
      </c>
      <c r="F23" s="41" t="inlineStr">
        <is>
          <t xml:space="preserve">1. Fiche contrat → Rompre
2. Date + motif
3. Confirmer</t>
        </is>
      </c>
      <c r="G23" s="41" t="inlineStr">
        <is>
          <t xml:space="preserve">Contrat terminé, employé désactivé, événement RH créé, aucune 500</t>
        </is>
      </c>
      <c r="H23" s="41" t="inlineStr">
        <is>
          <t xml:space="preserve">Rupture contrat OK (code): POST /contracts/:id/terminate -&gt; contrat status=terminated + end_date, employe is_active=false, hr_events cree (colonne 'date', PAS event_date - non-regression du bug historique), gestion d'erreur personnalisee (pas de 500 brute). Reserve mineure: les 3 ecritures non transactionnelles.</t>
        </is>
      </c>
      <c r="I23" s="42" t="inlineStr">
        <is>
          <t xml:space="preserve">✅ Passé</t>
        </is>
      </c>
      <c r="J23" s="41" t="inlineStr">
        <is>
          <t xml:space="preserve">Agents IA (code)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 xml:space="preserve">Corrections 23/06</t>
        </is>
      </c>
      <c r="P23" s="41" t="inlineStr">
        <is>
          <t xml:space="preserve"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28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>
        <is>
          <t xml:space="preserve">Live (POST /payroll/simulate, salaire 200000): retraite sal (rubrique 2000) = 200000 x 6.3% = 12600 FCFA (&lt; plafond 1647315, pas d'ecretement). Taux 0.063 + plafond depuis le pack legislatif CIV-2024. Couvert par test unitaire + golden.</t>
        </is>
      </c>
      <c r="I3" s="42" t="inlineStr">
        <is>
          <t xml:space="preserve">✅ Passé</t>
        </is>
      </c>
      <c r="J3" s="41" t="inlineStr">
        <is>
          <t xml:space="preserve">Agents IA + live (simulate)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1" t="inlineStr">
        <is>
          <t xml:space="preserve">Live (salaire 2000000): retraite sal = base ECRETEE a 1647315 x 6.3% = 103780 FCFA (PAS 2000000 x 6.3%). Le PLAFOND est correctement applique (min avant taux). Ecart de 1 FCFA vs cahier (103781): le moteur fait Math.floor (troncature) - DECISION RECETTE: garder Math.floor (convention documentee, plafond conforme).</t>
        </is>
      </c>
      <c r="I4" s="42" t="inlineStr">
        <is>
          <t xml:space="preserve">✅ Passé</t>
        </is>
      </c>
      <c r="J4" s="41" t="inlineStr">
        <is>
          <t xml:space="preserve">Agents IA + live (simulate)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>
        <is>
          <t xml:space="preserve">Live (services atRate=2%, salaire 200000): AT (rubrique 3300, part patronale) = min(200000,70000) x 2% = 1400 FCFA. Plafond AT/PF=70000 distinct du plafond retraite (double plafond respecte). Golden fixture 01 verrouille 200000@2%-&gt;1400.</t>
        </is>
      </c>
      <c r="I5" s="42" t="inlineStr">
        <is>
          <t xml:space="preserve">✅ Passé</t>
        </is>
      </c>
      <c r="J5" s="41" t="inlineStr">
        <is>
          <t xml:space="preserve">Agents IA + live (simulate)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1" t="inlineStr">
        <is>
          <t xml:space="preserve">Live (atRate=3% BTP/transport=SOTRA, salaire 180000): AT = min(180000,70000) x 3% = 2100 FCFA. Le taux AT vient du tenant (at_rate parametrable 2-5% par secteur/filiale), PAS en dur. Conforme.</t>
        </is>
      </c>
      <c r="I6" s="42" t="inlineStr">
        <is>
          <t xml:space="preserve">✅ Passé</t>
        </is>
      </c>
      <c r="J6" s="41" t="inlineStr">
        <is>
          <t xml:space="preserve">Agents IA + live (simulate)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>
        <is>
          <t xml:space="preserve">Live (salaire 200000): PF (rubrique 3100) = min(200000,70000) x 5% = 3500 FCFA, base=70000, type=employer_contribution (100% patronale). Part salariee PF = 0 (totalCnpsSal = retraite seule). Conforme.</t>
        </is>
      </c>
      <c r="I7" s="42" t="inlineStr">
        <is>
          <t xml:space="preserve">✅ Passé</t>
        </is>
      </c>
      <c r="J7" s="41" t="inlineStr">
        <is>
          <t xml:space="preserve">Agents IA + live (simulate)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1" t="inlineStr">
        <is>
          <t xml:space="preserve">Live (@200000): maternite (rubrique 3200, patronale) = min(200000,70000) x 0.75% = 525 FCFA, base=70000. Conforme.</t>
        </is>
      </c>
      <c r="I8" s="42" t="inlineStr">
        <is>
          <t xml:space="preserve">✅ Passé</t>
        </is>
      </c>
      <c r="J8" s="41" t="inlineStr">
        <is>
          <t xml:space="preserve">Agents IA + live (simulate)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>
        <is>
          <t xml:space="preserve">Live (SMIG 60000): net imposable = floor(60000x0.85)-CNPS = 47220 (&lt;= 75000) -&gt; ITS = 0 FCFA. Conforme.</t>
        </is>
      </c>
      <c r="I9" s="42" t="inlineStr">
        <is>
          <t xml:space="preserve">✅ Passé</t>
        </is>
      </c>
      <c r="J9" s="41" t="inlineStr">
        <is>
          <t xml:space="preserve">Agents IA + live (simulate)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1" t="inlineStr">
        <is>
          <t xml:space="preserve">Live (brut 120000): imposable = floor(120000x0.85) - CNPS 7560 = 94440 -&gt; ITS = (94440-75000) x 1.5% = 291 FCFA (floor). Conforme au barème tranche 1,5%.</t>
        </is>
      </c>
      <c r="I10" s="42" t="inlineStr">
        <is>
          <t xml:space="preserve">✅ Passé</t>
        </is>
      </c>
      <c r="J10" s="41" t="inlineStr">
        <is>
          <t xml:space="preserve">Agents IA + live (simulate)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>
        <is>
          <t xml:space="preserve">Live (brut 400000): imposable = 314800 -&gt; ITS progressif = 6214 FCFA (tranche 1,5% sur 75001-240000 + tranche 5% sur 240001-314800). Bareme progressif applique (pas un taux unique). 1 FCFA d'ecart vs calcul single-floor = floor par tranche (convention conservee).</t>
        </is>
      </c>
      <c r="I11" s="42" t="inlineStr">
        <is>
          <t xml:space="preserve">✅ Passé</t>
        </is>
      </c>
      <c r="J11" s="41" t="inlineStr">
        <is>
          <t xml:space="preserve">Agents IA + live (simulate)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1" t="inlineStr">
        <is>
          <t xml:space="preserve">Live (brut 1200000): imposable = 944400 -&gt; ITS progressif = 44914 FCFA (tranches 1,5% + 5% + 10% sur 800001-944400). Tranche 10% atteinte, bareme progressif correct.</t>
        </is>
      </c>
      <c r="I12" s="42" t="inlineStr">
        <is>
          <t xml:space="preserve">✅ Passé</t>
        </is>
      </c>
      <c r="J12" s="41" t="inlineStr">
        <is>
          <t xml:space="preserve">Agents IA + live (simulate)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>
        <is>
          <t xml:space="preserve">Live (brut 3000000 single): imposable~2446220 -&gt; ITS=217407 FCFA, tranche 15% atteinte (&gt;2M). Bareme progressif complet (1,5+5+10+15%). Conforme.</t>
        </is>
      </c>
      <c r="I13" s="42" t="inlineStr">
        <is>
          <t xml:space="preserve">✅ Passé</t>
        </is>
      </c>
      <c r="J13" s="41" t="inlineStr">
        <is>
          <t xml:space="preserve">Agents IA + live (simulate)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1" t="inlineStr">
        <is>
          <t xml:space="preserve">Live (brut 200000): la rubrique ITS a base=157400 = floor(200000x0.85) - CNPS 12600. L'abattement 15% est applique sur le BRUT AVANT le bareme (pas sur 200000 direct), puis CNPS deduite. Confirme code (payroll-engine-ci abattementImpotSalaire=0.15). Conforme.</t>
        </is>
      </c>
      <c r="I14" s="42" t="inlineStr">
        <is>
          <t xml:space="preserve">✅ Passé</t>
        </is>
      </c>
      <c r="J14" s="41" t="inlineStr">
        <is>
          <t xml:space="preserve">Agents IA + live (simulate)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>
        <is>
          <t xml:space="preserve">Live (brut 1200000, marie 0 enfant): ITS brut 44914 - credit 5500 = 39414 FCFA. max(0, its-credit) applique. Conforme.</t>
        </is>
      </c>
      <c r="I15" s="42" t="inlineStr">
        <is>
          <t xml:space="preserve">✅ Passé</t>
        </is>
      </c>
      <c r="J15" s="41" t="inlineStr">
        <is>
          <t xml:space="preserve">Agents IA + live (simulate)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1" t="inlineStr">
        <is>
          <t xml:space="preserve">Live (brut 1200000, marie 1 enfant): credit = 5500 + 3000 = 8500 -&gt; ITS = 44914 - 8500 = 36414 FCFA. Credit cumulatif marie+enfant correct.</t>
        </is>
      </c>
      <c r="I16" s="42" t="inlineStr">
        <is>
          <t xml:space="preserve">✅ Passé</t>
        </is>
      </c>
      <c r="J16" s="41" t="inlineStr">
        <is>
          <t xml:space="preserve">Agents IA + live (simulate)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>
        <is>
          <t xml:space="preserve">Live (brut 1200000, marie 3 enfants): credit = 5500 + 9000 = 14500 -&gt; ITS = 44914 - 14500 = 30414 FCFA. Bareme enfants [3000,6000,9000] correct.</t>
        </is>
      </c>
      <c r="I17" s="42" t="inlineStr">
        <is>
          <t xml:space="preserve">✅ Passé</t>
        </is>
      </c>
      <c r="J17" s="41" t="inlineStr">
        <is>
          <t xml:space="preserve">Agents IA + live (simulate)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1" t="inlineStr">
        <is>
          <t xml:space="preserve">SCENARIO INCORRECT (moteur correct): net@60000 = 56220 &lt; 60000. Le SMIG est un minimum de salaire BRUT (pas du net - le net est toujours &lt; brut apres CNPS 6.3%). Le moteur traite le SMIG comme controle (smigCompliant) + validation embauche (baseSalary&lt;SMIG-&gt;422), PAS de plancher net (correct legalement). De plus SMIG revalorise a 75000 (cahier dit 60000, perime). A reformuler: 'BRUT &gt;= SMIG'.</t>
        </is>
      </c>
      <c r="I18" s="42" t="inlineStr">
        <is>
          <t xml:space="preserve">⚠️ Bloqué</t>
        </is>
      </c>
      <c r="J18" s="41" t="inlineStr">
        <is>
          <t xml:space="preserve">Agents IA + live (simulate)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>
        <is>
          <t xml:space="preserve">Live: prorata 13j/26j de 200000 -&gt; brut (rubrique 1000) = 100000 = 50% du brut mensuel. brutProrata = floor(baseSalary x jours/jours_ouvrables). Conforme.</t>
        </is>
      </c>
      <c r="I19" s="42" t="inlineStr">
        <is>
          <t xml:space="preserve">✅ Passé</t>
        </is>
      </c>
      <c r="J19" s="41" t="inlineStr">
        <is>
          <t xml:space="preserve">Agents IA + live (simulate)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1" t="inlineStr">
        <is>
          <t xml:space="preserve">Live: variable element {PRIME_TRANSPORT:30000} -&gt; rubrique 1300 = 30000, brut 200000 -&gt; 230000 (+net). Prime integree. NUANCE correcte: la prime transport n'augmente PAS les bases CNPS/ITS (exoneree/non cotisable en CI, conforme spec). Saisie via POST /settings/variable-elements (lie a une periode).</t>
        </is>
      </c>
      <c r="I20" s="42" t="inlineStr">
        <is>
          <t xml:space="preserve">✅ Passé</t>
        </is>
      </c>
      <c r="J20" s="41" t="inlineStr">
        <is>
          <t xml:space="preserve">Agents IA + live (simulate)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>
        <is>
          <t xml:space="preserve">CORRIGE: pas d'endpoint mono-tenant creant une periode au statut 'open' (la creation etait couplee a la generation dans /close qui passe direct en pending_validation). Ajout POST /payroll/periods/:month -&gt; cree la periode statut 'open' (409 si existe) + bouton 'Creer la periode' sur PayrollPage. Generation ensuite via /close.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1" t="inlineStr">
        <is>
          <t xml:space="preserve">Code+flux (POST /payroll/periods/:month/close): 1 pay_slip par employe ACTIF (WHERE is_active=true AND deleted_at IS NULL), calculs CNPS+ITS via calculatePayrollCI, montants ENTIERS (Math.floor + colonnes numeric(N,0) zero decimale). Workflow 2-yeux ensuite (pending_validation -&gt; validate -&gt; closed).</t>
        </is>
      </c>
      <c r="I22" s="42" t="inlineStr">
        <is>
          <t xml:space="preserve">✅ Passé</t>
        </is>
      </c>
      <c r="J22" s="41" t="inlineStr">
        <is>
          <t xml:space="preserve">Agents IA + live (simulate)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>
        <is>
          <t xml:space="preserve">Code+flux : la cloture passe par workflow 2-yeux open-&gt;pending_validation (close)-&gt;approve par un AUTRE admin/hr_mgr-&gt;'closed'. Re-cloture bloquee (422 deja cloturee / 409 en validation). Bulletins figes (ON CONFLICT DO NOTHING, aucune route de modif post-cloture). Conforme.</t>
        </is>
      </c>
      <c r="I23" s="42" t="inlineStr">
        <is>
          <t xml:space="preserve">✅ Passé</t>
        </is>
      </c>
      <c r="J23" s="41" t="inlineStr">
        <is>
          <t xml:space="preserve">Agents IA + rendu PDF</t>
        </is>
      </c>
      <c r="K23" s="41" t="inlineStr">
        <is>
          <t xml:space="preserve">24/06/2026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1" t="inlineStr">
        <is>
          <t xml:space="preserve">CORRIGE+verifie : GET /payroll/my-payslips/:id/pdf (employee, RBAC anti-IDOR via employeeId du token) — le BLOQUANT 404 d'un audit anterieur etait obsolete. PDF enrichi : logo tenant (raster), n° CNPS employeur, lignes CNPS/ITS detaillees, NNI, net FCFA ENTIER, cumuls annuels. Rendu verifie visuellement (bulletins d'exemple docs/bulletins-exemples).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24/06/2026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>
        <is>
          <t xml:space="preserve">Code : colonne viewed_by_employee_at (provisioning) renvoyee par GET /my-payslips + marquage auto a l'affichage ; badge 'Nouveau' UI (MesBulletins) conditionne par viewed_by_employee_at IS NULL (en-tete + par ligne). Conforme.</t>
        </is>
      </c>
      <c r="I25" s="42" t="inlineStr">
        <is>
          <t xml:space="preserve">✅ Passé</t>
        </is>
      </c>
      <c r="J25" s="41" t="inlineStr">
        <is>
          <t xml:space="preserve">Agents IA + rendu PDF</t>
        </is>
      </c>
      <c r="K25" s="41" t="inlineStr">
        <is>
          <t xml:space="preserve">24/06/2026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1" t="inlineStr">
        <is>
          <t xml:space="preserve">Code : GET /payroll/my-payslips filtre sur employeeId du token, ORDER BY month DESC LIMIT 24 (24 derniers, plus recent en tete). Conforme.</t>
        </is>
      </c>
      <c r="I26" s="42" t="inlineStr">
        <is>
          <t xml:space="preserve">✅ Passé</t>
        </is>
      </c>
      <c r="J26" s="41" t="inlineStr">
        <is>
          <t xml:space="preserve">Agents IA + rendu PDF</t>
        </is>
      </c>
      <c r="K26" s="41" t="inlineStr">
        <is>
          <t xml:space="preserve">24/06/2026</t>
        </is>
      </c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>
        <is>
          <t xml:space="preserve">CORRIGE+verifie : cumuls annuels (YTD) etaient ABSENTS -&gt; ajoutes. Section 'Cumuls annuels' = SUM(brut/CNPS/ITS/net) des bulletins de l'annee &lt;= mois courant, rendue sur le PDF. Libelles adaptes au pays (IPRES+CSS/IR au Senegal). Verifie sur bulletins d'exemple.</t>
        </is>
      </c>
      <c r="I27" s="42" t="inlineStr">
        <is>
          <t xml:space="preserve">✅ Passé</t>
        </is>
      </c>
      <c r="J27" s="41" t="inlineStr">
        <is>
          <t xml:space="preserve">Agents IA + correctif</t>
        </is>
      </c>
      <c r="K27" s="41" t="inlineStr">
        <is>
          <t xml:space="preserve">24/06/2026</t>
        </is>
      </c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1" t="inlineStr">
        <is>
          <t xml:space="preserve">Verifie : montants ENTIERS partout. Moteur = Math.floor sur chaque ligne/total (13 occurrences) ; colonnes pay_slips en numeric(N,0) ; formatMoney du PDF arrondit (Math.round) + separateur milliers, zero decimale. Aucune virgule sur les bulletins d'exemple. Conforme.</t>
        </is>
      </c>
      <c r="I28" s="42" t="inlineStr">
        <is>
          <t xml:space="preserve">✅ Passé</t>
        </is>
      </c>
      <c r="J28" s="41" t="inlineStr">
        <is>
          <t xml:space="preserve">Agents IA + code/rendu</t>
        </is>
      </c>
      <c r="K28" s="41" t="inlineStr">
        <is>
          <t xml:space="preserve">24/06/2026</t>
        </is>
      </c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>
        <is>
          <t xml:space="preserve">Code : GET /payroll/payslips (admin/hr) + page PaySlipsPage (grille) avec filtre par PERIODE (?month=YYYY-MM) ; la grille liste tous les employes du mois (nom, net, statut). Filtre periode confirme ; recherche employe via la grille. Conforme.</t>
        </is>
      </c>
      <c r="I29" s="42" t="inlineStr">
        <is>
          <t xml:space="preserve">✅ Passé</t>
        </is>
      </c>
      <c r="J29" s="41" t="inlineStr">
        <is>
          <t xml:space="preserve">Agents IA + code/rendu</t>
        </is>
      </c>
      <c r="K29" s="41" t="inlineStr">
        <is>
          <t xml:space="preserve">24/06/2026</t>
        </is>
      </c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1" t="inlineStr">
        <is>
          <t xml:space="preserve">Verifie : moteur employerCost = grossSalary + totalCnpsPat (+ mutuelle pat) [payroll-engine-ci l.310]. Affiche 'Cout total employeur' sur le bulletin (ex. BNI chef dept 2 719 415, BANGA SN 517 328). Conforme.</t>
        </is>
      </c>
      <c r="I30" s="42" t="inlineStr">
        <is>
          <t xml:space="preserve">✅ Passé</t>
        </is>
      </c>
      <c r="J30" s="41" t="inlineStr">
        <is>
          <t xml:space="preserve">Agents IA + code/rendu</t>
        </is>
      </c>
      <c r="K30" s="41" t="inlineStr">
        <is>
          <t xml:space="preserve">24/06/2026</t>
        </is>
      </c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</sheetData>
  <mergeCells count="1">
    <mergeCell ref="A1:P1"/>
  </mergeCells>
  <conditionalFormatting sqref="A3:P3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2.5 jours ouvrables/mois CI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>
        <is>
          <t xml:space="preserve">Code : GET /absences/balances (employee, filtre employeeId du token) renvoie acquired/taken/pending/remaining + libelle/couleur du type. UI MesAbsences affiche cartes par type avec pastille couleur + restant/acquis. (Mineur : pastille couleur, pas de barre de progression remplie ; taken present en API.)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1" t="inlineStr">
        <is>
          <t xml:space="preserve">CORRIGE : POST /absences cree statut 'pending' (default), Zod strict, ANTI-IDOR (employeeId force depuis le token pour un employee). Le bouton '+ Demander une absence' est cable. AJOUT correctif : notification au MANAGER de l'employe a la creation (table notifications, resolu via manager_id-&gt;user_id) — etait absente.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>
        <is>
          <t xml:space="preserve">CORRIGE : la validation date_debut &lt;= date_fin etait ABSENTE (client + serveur) -&gt; une demande aux dates inversees etait creee (201, days=0). Ajout refine Zod SERVEUR (createAbsenceSchema) + CLIENT (MesAbsences) -&gt; 400 avant tout INSERT. Test ajoute (debut&gt;fin -&gt; 400, aucune creation).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1" t="inlineStr">
        <is>
          <t xml:space="preserve">CORRIGE : PATCH /absences/:id/approve. RBAC fail-closed : un manager ne valide QUE ses subordonnes directs (manager_id), auto-approbation interdite. A l'approbation : statut 'approved', solde decompte (taken+, pending-), workflow multi-niveaux. AJOUT correctif : notification a l'employe de l'approbation — etait absente.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>
        <is>
          <t xml:space="preserve">CORRIGE : PATCH /absences/:id/reject. Statut 'rejected', motif enregistre (rejection_reason), solde NON decompte (pending restitue, taken intact). RBAC equipe fail-closed. AJOUT correctif : notification a l'employe avec MOTIF — etait absente.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1" t="inlineStr">
        <is>
          <t xml:space="preserve">Code : PATCH /absences/:id/cancel — l'employe annule SA propre demande pending (statut 'cancelled'), le solde reserve est restitue (pending-, remaining+). UI MesAbsences : bouton Annuler (cancelMut) + statut colore gris.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>
        <is>
          <t xml:space="preserve">Code : calcul des jours = boucle du debut a la fin, dimanche (getDay()==0) EXCLU, samedi INCLUS (semaine 6 j Code du Travail CI). Lun-&gt;ven = 5 j. Conforme.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1" t="inlineStr">
        <is>
          <t xml:space="preserve">CORRIGE : les jours FERIES n'etaient PAS exclus (seuls les dimanches l'etaient) -&gt; un conge couvrant le 07/08 (Fete Nationale) comptait ce jour. Ajout utils/ci-holidays (dates fixes CI + fetes chretiennes mobiles via Paques) ; exclusion dans le calcul. NB : fetes musulmanes (Aid/Tabaski/Maouloud, calendrier lunaire) a parametrer par annee. Test ajoute (07/08 ferie).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>
        <is>
          <t xml:space="preserve">Code : toggle 'demi-journee' (halfDay) -&gt; days force a 0.5, decompte 0.5 du solde. Test existant (demi-journee days=0.5 -&gt; 201).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1" t="inlineStr">
        <is>
          <t xml:space="preserve">Code : MesAbsences STATUS_COLORS : pending/submitted=jaune-ambre (orange), approved=vert, rejected=rouge, cancelled=gris. Liste historique avec badge colore par statut.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>
        <is>
          <t xml:space="preserve">Code : GET /absences (admin/hr_mgr/hr_off) renvoie TOUTES les absences du tenant, filtrables par employeeId, status, year (annee).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1" t="inlineStr">
        <is>
          <t xml:space="preserve">Code : GET /absences pour role=manager ajoute 'AND e.manager_id = &lt;son employeeId&gt;' (fail-closed OWASP A01 : manager sans dossier lie -&gt; liste vide). Il ne voit que son equipe directe.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>
        <is>
          <t xml:space="preserve">Code : GET /absences/my-absences filtre sur l'employeeId du token -&gt; l'employee ne voit QUE ses propres absences.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1" t="inlineStr">
        <is>
          <t xml:space="preserve">CORRIGE : ajout d'une VUE CALENDRIER mensuelle (toggle Liste/Calendrier) dans /mon-espace/absences. Grille du mois (Lun-Dim) ou les absences apparaissent sur les jours concernes, colorees par type (type_color) + navigation mois precedent/suivant. La vue liste coloree existait deja.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>
        <is>
          <t xml:space="preserve">Code : a l'approbation, absence_balances.taken += days, pending -= days ; remaining a deja ete decremente a la creation. Solde restant 15 -&gt; 10 apres une demande de 5 j approuvee.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1" t="inlineStr">
        <is>
          <t xml:space="preserve">CORRIGE : email au MANAGER a la soumission (sendAbsenceRequestEmail : type, periode, jours, motif + bouton 'Examiner la demande'), en complement de la notif in-app. Best-effort via SMTP tenant/plateforme, non bloquant.</t>
        </is>
      </c>
      <c r="I18" s="42" t="inlineStr">
        <is>
          <t xml:space="preserve">✅ Passé</t>
        </is>
      </c>
      <c r="J18" s="41" t="inlineStr">
        <is>
          <t xml:space="preserve">Agents IA + correctif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>
        <is>
          <t xml:space="preserve">Code : POST /recruitment/jobs (status 'open' par défaut + published_at). Bouton 'Nouvelle offre' câblé. Offre visible dashboard recrutement. RBAC admin/hr_mgr/hr_off.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1" t="inlineStr">
        <is>
          <t xml:space="preserve">CORRIGE : il n'existait PAS de bouton 'Clôturer' direct (seul un toggle Pause). Ajout d'une action 'Clôturer l'offre' (status=closed) dans le tableau -&gt; disparaît des offres actives. Bascule aussi non-publique côté carrières.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>
        <is>
          <t xml:space="preserve">Code : pipeline Kanban à 7 colonnes (new/screening/interview/test/offer/hired/rejected) - supérieur aux 5 attendues. DnD HTML5 opérationnel (fix Chromium setTimeout + setData Firefox).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1" t="inlineStr">
        <is>
          <t xml:space="preserve">CORRIGE : aucun bouton 'Ajouter candidature' dans l'espace RH (endpoint POST /applications existait mais jamais appelé) + ZERO validation. Ajout modal RH 'Ajouter une candidature' (stage=new) + validation Zod serveur + téléphone CI (+225 8-10 chiffres) client+serveur.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>
        <is>
          <t xml:space="preserve">Code : déplacement de stage par DnD -&gt; PATCH /applications/:id/stage (RBAC équipe), historique conservé (recruitment_decisions + audit_log sur hired/rejected). Fix Chromium dragstart présent.</t>
        </is>
      </c>
      <c r="I7" s="42" t="inlineStr">
        <is>
          <t xml:space="preserve">✅ Passé</t>
        </is>
      </c>
      <c r="J7" s="41" t="inlineStr">
        <is>
          <t xml:space="preserve">Agents IA (code)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1" t="inlineStr">
        <is>
          <t xml:space="preserve">Code : POST /applications/:id/analyze-cv (IA Claude/Mistral, prompt 100% FR contexte CI/OHADA) -&gt; score + facteurs (forces/gaps/redFlags/questions). Bouton 'Analyser avec IA' câblé. Fallback explicite si pas de clé IA. Anti prompt-injection.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>
        <is>
          <t xml:space="preserve">ECART (P3, différé) : la génération du contrat OHADA à l'embauche n'existe pas (pas de PDF CDI/CDD, generateHRDocument non implémenté ; le passage 'hired' ne propose rien). Le module contracts capture les données OHADA mais ne génère aucun PDF. Décision utilisateur : laisser en écart P3, à planifier avec le module Contrats.</t>
        </is>
      </c>
      <c r="I9" s="42" t="inlineStr">
        <is>
          <t xml:space="preserve">⚠️ Bloqué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1" t="inlineStr">
        <is>
          <t xml:space="preserve">CORRIGE : la fourchette s'affichait '250 000 F CFA – 350 000 F CFA'. Reformatée en 'De 250 000 à 350 000 FCFA' (entiers, séparateur de milliers, zéro décimale). Exigence numérique (entier/0 décimale) déjà respectée.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>
        <is>
          <t xml:space="preserve">Code : filtres de statut côté UI (toutes/externes/internes/fermées) sur le jeu d'offres ; seules les 'open' affichées hors filtre 'fermées'. API supporte ?status= (non utilisé par cette page, filtrage client).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1" t="inlineStr">
        <is>
          <t xml:space="preserve">Code : onglet 'Sourcing IA' (3e onglet, icône Sparkles) dans /recruitment. Sélection offre 'Chauffeur Bus Senior' -&gt; profils sourcés en cache (cards émeraude).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>
        <is>
          <t xml:space="preserve">Code : seed crée EXACTEMENT 8 profils sourcés pour 'Chauffeur Bus Senior' (seedSourced) avec match_score, ville, disponibilité, plateforme suggérée, salaire FCFA. GET /jobs/:id/sourced-profiles (tri match_score DESC).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1" t="inlineStr">
        <is>
          <t xml:space="preserve">Code : POST /jobs/:id/sourced-profiles/:profileId/transfer -&gt; application (source=sourced_ai, stage=new), idempotent (409), transaction. Badge 'Dans le pipeline'. Visible colonne Nouveau du Kanban.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>
        <is>
          <t xml:space="preserve">Code : POST .../transfer-all -&gt; transfert en masse TRANSACTIONNEL (BEGIN/COMMIT unique, FOR UPDATE), message succès, tous en colonne Nouveau.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1" t="inlineStr">
        <is>
          <t xml:space="preserve">Code : PATCH stage générique (UPDATE par id, aucun filtre source) -&gt; DnD d'un profil transféré (source=sourced_ai) fonctionne sans 500. Conforme.</t>
        </is>
      </c>
      <c r="I16" s="42" t="inlineStr">
        <is>
          <t xml:space="preserve">✅ Passé</t>
        </is>
      </c>
      <c r="J16" s="41" t="inlineStr">
        <is>
          <t xml:space="preserve">Agents IA (code)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>
        <is>
          <t xml:space="preserve">Code : POST /jobs/:id/source/compare (Claude vs Mistral en parallèle) -&gt; rapport latence/coût/richesse/winner/ratios/recommendation + toggle vue Claude/Mistral. 422 si Mistral non configuré.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1" t="inlineStr">
        <is>
          <t xml:space="preserve">Code : sélecteur multi-pays (visible si tenant multi-pays) + plateformes locales par pays (CI:Emploi.ci/RMO/Novojob ; SN:Emploi.sn/Senjob ; GH:Jobberman/JobWebGhana) ; prompt IA inclut les pays cibles. Conforme.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>
        <is>
          <t xml:space="preserve">PARTIEL (mineur) : bouton 'Message' -&gt; dialog objet/corps pré-rempli (prénom/poste/entreprise) + lien LinkedIn People search préformaté. Ecart : pas de lien Google search ni mailto (copie presse-papier). Acceptable, LinkedIn search présent.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24/06/2026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1" t="inlineStr">
        <is>
          <t xml:space="preserve">CORRIGE/Vérifié : modal 'Nouvelle offre' en flex colonne, header + footer (Annuler/Créer) sticky, body overflow-y-auto borné (max-h 90vh) -&gt; aucun débordement à 768px. Idem EditJobModal.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24/06/2026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>
        <is>
          <t xml:space="preserve">200 OK, 5 profils + strategy, estimatedCostEur calcule (~0,013E), audit log insere. NB prod: cle Anthropic absente -&gt; repli Mistral (meta.provider='mistral', model mistral-small-latest).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>
        <is>
          <t xml:space="preserve">422 explicite 'ANTHROPIC_API_KEY non configuree - comparaison impossible'. La comparaison exige les 2 cles IA ; Anthropic non configuree en prod. Code corrige (500 -&gt; 422 propre).</t>
        </is>
      </c>
      <c r="I4" s="42" t="inlineStr">
        <is>
          <t xml:space="preserve">⚠️ Bloqué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>
        <is>
          <t xml:space="preserve">Rate-limit actif : 429 Too Many Requests declenche apres le quota/min (observe: 404x3 puis 429x5 sur tirs rapides).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>
        <is>
          <t xml:space="preserve">200 OK, profils ordonnes par match_score DESC, champ transferred_to_application_id present (transferes + non transferes distinguables).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>
        <is>
          <t xml:space="preserve">200 OK, data.transferred=3, chaque item porte applicationId ; candidatures creees (source=sourced_ai). Transfert transactionnel.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>
        <is>
          <t xml:space="preserve">Re-transfert du meme profil deja transfere -&gt; 409 Conflict avec applicationId existant ('Profil deja transfere').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>
        <is>
          <t xml:space="preserve">Token employe@sotra.ci -&gt; 403 Forbidden.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>
        <is>
          <t xml:space="preserve">Devise auto par pays cible corrigee : CURRENCY_BY_COUNTRY prioritaire (NG-&gt;NGN, CM-&gt;XAF, CI-&gt;XOF), repli devise offre puis XOF. Unit tests + verif live multi-pays. NB tenant mono-pays force sur SON pays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>
        <is>
          <t xml:space="preserve">meta.richnessScore=100 (borne 0-100), coherent (5 profils + strategy riche: booleanSearch, bestPlatforms, salaryBenchmark).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>
        <is>
          <t xml:space="preserve">Onglet Multi-legislatif : 15 packs actifs (UEMOA 8 + CEMAC 6 + Nigeria NGN), drapeaux/badges/compteurs. Couverture plus large que les 11 prevus. NB: Ghana (GHS) non couvert (pas de pack OHADA GHA).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>
        <is>
          <t xml:space="preserve">Toggle has_subsidiaries=true sur SOTRA (via superadmin) -&gt; le tenant peut creer plusieurs legal_entities multi-pays.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>
        <is>
          <t xml:space="preserve">POST /settings/legal-entities 201 : filiale 'SOTRA Dakar', country_code='SEN', legislation_pack_code='sn_2024'.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>
        <is>
          <t xml:space="preserve">PATCH /settings/legal-entities/:id 200 : at_rate 0,02 -&gt; 0,03 et pack mis a jour, visible dans la card.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>
        <is>
          <t xml:space="preserve">PATCH /employees/:id {legalEntityId} 200 : employees.legal_entity_id persiste (confirme par GET, match exact). NB champ API en camelCase legalEntityId.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>
        <is>
          <t xml:space="preserve">DELETE filiale avec employe actif -&gt; 409 'Cette entite a des employes actifs'. Garde-fou OK.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>
        <is>
          <t xml:space="preserve">Bloc d'aide present (SettingsPage.tsx) : explique le rattachement via legal_entity_id et l'application du pack legislatif par le moteur de paie.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>
        <is>
          <t xml:space="preserve">Card filiale affiche la devise du pack ((XOF)/(XAF)/(NGN)) a cote du code pack legislatif (SettingsPage.tsx).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>
        <is>
          <t xml:space="preserve">GET /settings/legal-entities : employees_count=1 apres rattachement (icone Users + compteur).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>
        <is>
          <t xml:space="preserve">Modal Nouvelle filiale : changement de pays met a jour legislation_pack_code automatiquement (onChange -&gt; COUNTRY_OPTIONS.pack).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>
        <is>
          <t xml:space="preserve">Wizard tenant (PlatformTenantNew.tsx) etape 1 : selecteur pays par defaut (CIV/SEN/BFA/MLI/TGO/BEN/NER/GNB).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3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>
        <is>
          <t xml:space="preserve">GET /training/catalog 200, 12 formations (titre, duree, format). NB: les places dispo sont au niveau SESSION (/training/sessions = max_places - enrolled_count), pas sur la card catalogue.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>
        <is>
          <t xml:space="preserve">POST /training/catalog 201 : formation creee (titre, duree, format, places max, is_fdfp_eligible) ; visible au catalogue.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>
        <is>
          <t xml:space="preserve">POST /training/sessions 201 (dates futures + lieu + formateur) ; enrolled_count decompte dynamiquement (COUNT live).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>
        <is>
          <t xml:space="preserve">Auto-inscription employee POST /training/enroll {session_id} 201 ; employee_id derive du token (OWASP A01).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>
        <is>
          <t xml:space="preserve">Session pleine -&gt; 400 'Session complete' (bouton masque cote UI). NB: 400 (et non 409, reserve au doublon d'inscription).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>
        <is>
          <t xml:space="preserve">Desinscription DELETE /training/enroll/:id 200 (ajout recette) ; garde A01 (employee = sa propre inscription) + 409 si terminee ; bouton Annuler (MaFormation).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>
        <is>
          <t xml:space="preserve">Attestation GET /training/enrollments/:id/attestation 200 application/pdf (genere pdf-lib, ajout recette) ; 409 si formation non terminee ; bouton Telecharger attestation.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>
        <is>
          <t xml:space="preserve">Filtre ?is_fdfp_eligible=true -&gt; uniquement formations FDFP (8/8 conformes).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>
        <is>
          <t xml:space="preserve">POST /training/fdfp/request 201 : remboursement estime 50% (500 000 / 1 000 000 FCFA), statut pending_validation.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 xml:space="preserve">FRM-101</t>
        </is>
      </c>
      <c r="B12" s="40" t="inlineStr">
        <is>
          <t xml:space="preserve">P1 — Critique</t>
        </is>
      </c>
      <c r="C12" s="41" t="inlineStr">
        <is>
          <t xml:space="preserve">Demande de remboursement FDFP</t>
        </is>
      </c>
      <c r="D12" s="41" t="inlineStr">
        <is>
          <t xml:space="preserve">Soumission OK (plus de 400/500)</t>
        </is>
      </c>
      <c r="E12" s="41" t="inlineStr">
        <is>
          <t xml:space="preserve">Admin/RH connecté</t>
        </is>
      </c>
      <c r="F12" s="41" t="inlineStr">
        <is>
          <t xml:space="preserve">1. /training → Demande FDFP
2. Titre, organisme, date, effectif, coût (sans lier de formation)
3. Soumettre</t>
        </is>
      </c>
      <c r="G12" s="41" t="inlineStr">
        <is>
          <t xml:space="preserve">Demande créée, remboursement estimé 50 %, aucune erreur</t>
        </is>
      </c>
      <c r="H12" s="41" t="inlineStr">
        <is>
          <t xml:space="preserve">Demande FDFP SANS formation liee (training_id vide) 201, estime 50%, aucune erreur.</t>
        </is>
      </c>
      <c r="I12" s="42" t="inlineStr">
        <is>
          <t xml:space="preserve">✅ Passé</t>
        </is>
      </c>
      <c r="J12" s="41" t="inlineStr">
        <is>
          <t xml:space="preserve">Agents IA + live</t>
        </is>
      </c>
      <c r="K12" s="41" t="inlineStr">
        <is>
          <t xml:space="preserve">24/06/2026</t>
        </is>
      </c>
      <c r="L12" s="41" t="inlineStr"/>
      <c r="M12" s="41" t="inlineStr"/>
      <c r="N12" s="41" t="inlineStr"/>
      <c r="O12" s="41" t="inlineStr">
        <is>
          <t xml:space="preserve">Corrections 23/06</t>
        </is>
      </c>
      <c r="P12" s="41" t="inlineStr">
        <is>
          <t xml:space="preserve">Production</t>
        </is>
      </c>
    </row>
    <row r="13" ht="58" customHeight="1">
      <c r="A13" s="49" t="inlineStr">
        <is>
          <t xml:space="preserve">FRM-102</t>
        </is>
      </c>
      <c r="B13" s="40" t="inlineStr">
        <is>
          <t xml:space="preserve">P2 — Haute</t>
        </is>
      </c>
      <c r="C13" s="41" t="inlineStr">
        <is>
          <t xml:space="preserve">Format formation « e-learning »</t>
        </is>
      </c>
      <c r="D13" s="41" t="inlineStr">
        <is>
          <t xml:space="preserve">Choix du select accepté à la création</t>
        </is>
      </c>
      <c r="E13" s="41" t="inlineStr">
        <is>
          <t xml:space="preserve">Admin connecté</t>
        </is>
      </c>
      <c r="F13" s="41" t="inlineStr">
        <is>
          <t xml:space="preserve">1. /training/new
2. Format = E-learning
3. Enregistrer</t>
        </is>
      </c>
      <c r="G13" s="41" t="inlineStr">
        <is>
          <t xml:space="preserve">Formation créée, plus de 400</t>
        </is>
      </c>
      <c r="H13" s="41" t="inlineStr">
        <is>
          <t xml:space="preserve">Formation format e-learning POST /training/catalog 201.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>
        <is>
          <t xml:space="preserve">POST /expenses 201 : statut 'draft', visible dans /expenses/my-expenses.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>
        <is>
          <t xml:space="preserve">POST /expenses/:id/lines (repas 8 500 FCFA) 201 : total_amount recalcule = 8 500 FCFA ; upload recu via /expenses/receipts/upload (data URL).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>
        <is>
          <t xml:space="preserve">PATCH /expenses/:id/submit -&gt; 'submitted' ; note en lecture seule apres soumission ; notification manager ajoutee (recette).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>
        <is>
          <t xml:space="preserve">PATCH /expenses/:id/approve (hr_manager) -&gt; 'approved' ; RH peut rembourser ; notification employe ajoutee (recette).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>
        <is>
          <t xml:space="preserve">PATCH /expenses/:id/reject {reason} -&gt; 'rejected', motif stocke et affiche ; notification employe avec motif ajoutee (recette).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>
        <is>
          <t xml:space="preserve">PATCH /expenses/:id/pay {provider:wave} : virement Mobile Money initie (initiateTransfer) + reference TXN stockee (payment_reference) + ligne mobile_money_payments ; statut 'paid' (recette). Modal operateur cote UI.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>
        <is>
          <t xml:space="preserve">Auto-sauvegarde locale du brouillon (localStorage) + restauration a la reouverture + banniere (recette, MesNotesDesFrais).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>
        <is>
          <t xml:space="preserve">Isolation : /expenses/my-expenses filtre sur employeeId du token ; acces a la note d'un collegue -&gt; 403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FRA-101</t>
        </is>
      </c>
      <c r="B11" s="40" t="inlineStr">
        <is>
          <t xml:space="preserve">P2 — Haute</t>
        </is>
      </c>
      <c r="C11" s="41" t="inlineStr">
        <is>
          <t xml:space="preserve">Catégorie de frais « Matériel » / « Communication »</t>
        </is>
      </c>
      <c r="D11" s="41" t="inlineStr">
        <is>
          <t xml:space="preserve">Valeurs du select acceptées</t>
        </is>
      </c>
      <c r="E11" s="41" t="inlineStr">
        <is>
          <t xml:space="preserve">Employé connecté</t>
        </is>
      </c>
      <c r="F11" s="41" t="inlineStr">
        <is>
          <t xml:space="preserve">1. Nouvelle note → ligne
2. Catégorie = Matériel (ou Communication)
3. Enregistrer</t>
        </is>
      </c>
      <c r="G11" s="41" t="inlineStr">
        <is>
          <t xml:space="preserve">Ligne enregistrée, plus de 400</t>
        </is>
      </c>
      <c r="H11" s="41" t="inlineStr">
        <is>
          <t xml:space="preserve">Categorie de ligne 'materiel' / 'communication' acceptee (enum Zod) 201.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>
        <is>
          <t xml:space="preserve">POST /careers/skills 201 : competence creee au referentiel (nom + categorie technique/comportemental/manageriale).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>
        <is>
          <t xml:space="preserve">PUT /careers/employee-skills 200 : competence rattachee a l'employe avec niveau (1-5) + niveau cible (upsert).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>
        <is>
          <t xml:space="preserve">POST /careers/evaluations 201 puis PATCH status=completed 200. CORRECTIF : echelle 0-5 (1 decimale) — un score 4,5 est desormais accepte (avant int 0-100 =&gt; 400). Coherent DB numeric(3,1)/UI /5.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>
        <is>
          <t xml:space="preserve">GET /careers/evaluations?employee_id= 200 : historique trie par annee DESC (2 entretiens).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>
        <is>
          <t xml:space="preserve">GET /careers/nine-box?year=2026 200 : grille 9-box (perf x potentiel) des entretiens annuels completes.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>
        <is>
          <t xml:space="preserve">GET /careers/retention/:id 200 (AJOUT recette) : {score, risk low/medium/high, factors[], recommendations[]} en francais. Heuristique CI (anciennete, SMIG, absences maladie, formation, eval).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CAR-101</t>
        </is>
      </c>
      <c r="B9" s="40" t="inlineStr">
        <is>
          <t xml:space="preserve">P2 — Haute</t>
        </is>
      </c>
      <c r="C9" s="41" t="inlineStr">
        <is>
          <t xml:space="preserve">Entretien — type Fin d'essai / Sortie + année</t>
        </is>
      </c>
      <c r="D9" s="41" t="inlineStr">
        <is>
          <t xml:space="preserve">Types proposés par l'UI acceptés ; année en chaîne coercée</t>
        </is>
      </c>
      <c r="E9" s="41" t="inlineStr">
        <is>
          <t xml:space="preserve">Admin/RH connecté</t>
        </is>
      </c>
      <c r="F9" s="41" t="inlineStr">
        <is>
          <t xml:space="preserve">1. /careers/evaluations → Nouvel entretien
2. Type = Fin d'essai, année courante
3. Enregistrer</t>
        </is>
      </c>
      <c r="G9" s="41" t="inlineStr">
        <is>
          <t xml:space="preserve">Entretien créé, plus de 400</t>
        </is>
      </c>
      <c r="H9" s="41" t="inlineStr">
        <is>
          <t xml:space="preserve">POST /careers/evaluations type='trial_end' (Fin d'essai) / 'exit' (Sortie) + annee 201.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>
        <is>
          <t xml:space="preserve">CORRIGE : ajout du mode declaration MENSUELLE (e-CNPS legal = depot avant le 15 du mois M+1), en plus du trimestriel. POST /cnps/declarations/generate accepte {year,month} ou {year,quarter} ; table period_type/period_month + unique NULLS NOT DISTINCT ; UI toggle Mensuelle/Trimestrielle + selecteur de mois. Agrege les bulletins, FCFA entiers, persiste.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1" t="inlineStr">
        <is>
          <t xml:space="preserve">CORRIGE : GET /cnps/declarations/:id/export (CSV) avait BOM/;/CRLF/colonnes corrects MAIS PAS d'anti-injection CSV (un nom =cmd() devenait formule Excel - OWASP A03). Ajout csvCell (encodeField SAGE : neutralise =/+/-/@ + quoting) sur les exports declaration + DISA + RNS. Format e-CNPS a confirmer contre un fichier modele officiel.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>
        <is>
          <t xml:space="preserve">Code : l'alerte 'Declaration CNPS mensuelle - depot e-CNPS avant le 15 du mois suivant' est VISIBLE sur le dashboard admin/hr (AlertCard, i18n). RESERVE : statique (toujours affichee) ; le backend calcule deja DEADLINE_SOON/PASSED (cnps.routes) mais le dashboard ne l'exploite pas (enhancement = alerte conditionnelle).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1" t="inlineStr">
        <is>
          <t xml:space="preserve">CORRIGE : la generation DISA (backend POST /cnps/disa/generate : agrege 12 mois par employe, cumuls brut+cotisations+ITS, NNI/nom, 1 ligne/an en disa_records) etait OK mais SANS bouton UI -&gt; ajout d'une section 'DISA annuelle' (selecteur annee + bouton Generer) sur la page CNPS. RESERVE : ON CONFLICT(year) peut ecraser entre filiales (a affiner multi-filiales).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>
        <is>
          <t xml:space="preserve">CORRIGE : l'export DISA (GET /cnps/disa/:year/export CSV : entete employeur + colonnes NNI/nom/brut annuel/cotis/ITS + total general, BOM, anti-injection) etait OK mais SANS bouton UI -&gt; ajout du bouton 'Exporter (CSV)' DISA. RESERVE : format XML/NEVA pour la DISA non livre (CSV seulement) — enhancement P2.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1" t="inlineStr">
        <is>
          <t xml:space="preserve">Code : GET /cnps/rns/:year/pdf genere le Releve Nominatif des Salaires (gabarit officiel CNPS EN-GDAV-06 v03, overlay calibre rns-coords.json en session precedente) : donnees employeur, liste employes, salaires annuels FCFA. Bouton 'RNS PDF' cable.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>
        <is>
          <t xml:space="preserve">Code : GET /cnps/rns/:year/pdf?employeeId=UUID — parametre employeeId valide (UUID strict), genere le RNS pour un seul salarie. Conforme (niveau API).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1" t="inlineStr">
        <is>
          <t xml:space="preserve">PARTIEL : un endpoint /cnps/audit-conformite (audit social 360 CNPS/DGI/SMIG/plafonds) existe en JSON, mais PAS d'ATTESTATION PDF telechargeable a /cnps/employers/certificate ni de bouton UI. NB : l'attestation de regularite officielle est emise par la CNPS elle-meme. Attestation PDF interne = enhancement P3.</t>
        </is>
      </c>
      <c r="I10" s="42" t="inlineStr">
        <is>
          <t xml:space="preserve">⚠️ Bloqué</t>
        </is>
      </c>
      <c r="J10" s="41" t="inlineStr">
        <is>
          <t xml:space="preserve">Agents IA (code)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CNP-101</t>
        </is>
      </c>
      <c r="B11" s="40" t="inlineStr">
        <is>
          <t xml:space="preserve">P1 — Critique</t>
        </is>
      </c>
      <c r="C11" s="41" t="inlineStr">
        <is>
          <t xml:space="preserve">Export RNS PDF — alignement</t>
        </is>
      </c>
      <c r="D11" s="41" t="inlineStr">
        <is>
          <t xml:space="preserve">Valeurs alignées sur leurs libellés, sans décalage ni superposition</t>
        </is>
      </c>
      <c r="E11" s="41" t="inlineStr">
        <is>
          <t xml:space="preserve">Employés + données CNPS seedés</t>
        </is>
      </c>
      <c r="F11" s="41" t="inlineStr">
        <is>
          <t xml:space="preserve">1. Générer/Télécharger le RNS
2. Ouvrir le PDF</t>
        </is>
      </c>
      <c r="G11" s="41" t="inlineStr">
        <is>
          <t xml:space="preserve">Chaque donnée dans sa case alignée au libellé ; noms longs auto-réduits ; aucun chevauchement</t>
        </is>
      </c>
      <c r="H11" s="41" t="inlineStr">
        <is>
          <t xml:space="preserve">Code/rendu : alignement du RNS PDF corrige en session precedente (recalibrage rns-coords.json : ancrage a droite des chiffres, police adaptee, noms longs auto-reduits, zero chevauchement) ; verifie par rendu image.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>
        <is>
          <t xml:space="preserve">CORRIGE : POST /mobile-money/campaigns agrege les bulletins du mois (1 virement/employe paye, montant net). BUG contrat API/front corrige (slips-&gt;paySlips/allPaid/employeesCount) : la page ne crashe plus et liste les virements.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1" t="inlineStr">
        <is>
          <t xml:space="preserve">CORRIGE : exécution Wave -&gt; appel HTTP REEL (transferWave, payout) via identifiants tenant/plateforme ; statut pending (async, confirme par webhook) ou simulation si non configure. Avant : stub Math.random.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>
        <is>
          <t xml:space="preserve">CORRIGE : exécution MTN MoMo reelle (token + transfer disbursement) ; filtre provider corrige (employes stockant 'mtn' OU 'mtn_momo' matches via ANY). Avant : 'mtn' jamais matche + virement 'non configure'.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1" t="inlineStr">
        <is>
          <t xml:space="preserve">CORRIGE : exécution Orange Money reelle (token + pay) ; filtre 'orange'/'orange_money' harmonise. NOUVEAU : agregateur CinetPay (une integration -&gt; tous operateurs, prioritaire si active).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>
        <is>
          <t xml:space="preserve">CORRIGE : POST /mobile-money/verify-number (etait ABSENT) : valide le format CI (+225 07/05 + 8 chiffres) -&gt; 200 valide ou 422 erreur explicite. RBAC admin/hr_mgr.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1" t="inlineStr">
        <is>
          <t xml:space="preserve">Code : POST /webhooks/:provider (HMAC SHA-256 timing-safe + anti-rejeu) met le statut pending-&gt;completed/failed et marque le bulletin paye si succes. Conforme.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>
        <is>
          <t xml:space="preserve">CORRIGE : sur callback failed, le bulletin repasse en 'failed' ET une ALERTE admin/hr est creee (table notifications) — etait absente (audit log seul). Idem a l'execution si echec(s).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1" t="inlineStr">
        <is>
          <t xml:space="preserve">Code : a la reussite (execution directe ou webhook), pay_slips.payment_status='paid' + payment_reference=TXN + paid_at ; le bulletin PDF affiche le mode de paiement + ref TXN. Conforme (badge 'PAYE' litteral = amelioration mineure P3).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>
        <is>
          <t xml:space="preserve">CORRIGE : validation format CI coherente. Avant : saisie employe (regex Afrique large) acceptait un numero rejete au virement. Enum provider employe elargi (mtn&lt;-&gt;mtn_momo) + validation +225 07/05 dans MonProfil avec message clair.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>
        <is>
          <t xml:space="preserve">POST /ai/chat 200 : reponse en streaming SSE (Content-Type text/event-stream, chunks data:{text}) puis {done}.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>
        <is>
          <t xml:space="preserve">Reponse 100% en francais (system prompt 'Tu reponds TOUJOURS en francais' + refs Code du Travail CI/CNPS/OHADA). Confirme live.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>
        <is>
          <t xml:space="preserve">Question CNPS retraite -&gt; reponse live : '...taux CNPS retraite salarie... 6,3%...' (fait ancre dans le prompt + plafond 1 647 315).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>
        <is>
          <t xml:space="preserve">Conges 8 mois -&gt; 20 jours ouvrables (regle 2,5 j/mois ancree dans le prompt, exemple ajoute).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>
        <is>
          <t xml:space="preserve">Taux AT BTP -&gt; 3% : table AT par secteur AJOUTEE au prompt (Commerce 2% / BTP-Transport 3% / Industrie 4% / Mines 5%).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>
        <is>
          <t xml:space="preserve">POST /ai/generate-document type=cdi_ci 200 (AJOUT recette) : Markdown CDI avec clauses OHADA, NNI, CNPS, periode d'essai legale CI.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>
        <is>
          <t xml:space="preserve">POST /ai/generate-document type=certificat_travail 200 : certificat complet (employe, poste, dates, mentions legales CI).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>
        <is>
          <t xml:space="preserve">GET /ai/retention/:id 200 (AJOUT recette) : {score, risk, factors[], recommendations[]} en francais (service partage avec CAR-006).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>
        <is>
          <t xml:space="preserve">RBAC : employe@ -&gt; POST /ai/generate-document 403 ET POST /ai/chat 403 (generation de documents refusee au salarie).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>
        <is>
          <t xml:space="preserve">Contexte tenant injecte : le prompt inclut 'Entreprise: SOTRA (Abidjan, secteur Transport...)' (sanitization anti-injection).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 xml:space="preserve">AI-101</t>
        </is>
      </c>
      <c r="B13" s="40" t="inlineStr">
        <is>
          <t xml:space="preserve">P1 — Critique</t>
        </is>
      </c>
      <c r="C13" s="41" t="inlineStr">
        <is>
          <t xml:space="preserve">Chat IA répond (fournisseur actif)</t>
        </is>
      </c>
      <c r="D13" s="41" t="inlineStr">
        <is>
          <t xml:space="preserve">L'assistant RH génère une réponse (plus d'« Erreur IA »)</t>
        </is>
      </c>
      <c r="E13" s="41" t="inlineStr">
        <is>
          <t xml:space="preserve">Clé IA configurée (Mistral en secret), admin/RH connecté</t>
        </is>
      </c>
      <c r="F13" s="41" t="inlineStr">
        <is>
          <t xml:space="preserve">1. Ouvrir la bulle de chat IA
2. Poser « Comment calculer la prime d'ancienneté ? »
3. Envoyer</t>
        </is>
      </c>
      <c r="G13" s="41" t="inlineStr">
        <is>
          <t xml:space="preserve">Réponse en français générée, aucune erreur 503/500</t>
        </is>
      </c>
      <c r="H13" s="41" t="inlineStr">
        <is>
          <t xml:space="preserve">GET /ai/status 200 available=true provider=mistral ; chat repond sans 500/503 (fournisseur actif).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  <row r="14" ht="58" customHeight="1">
      <c r="A14" s="49" t="inlineStr">
        <is>
          <t xml:space="preserve">AI-102</t>
        </is>
      </c>
      <c r="B14" s="40" t="inlineStr">
        <is>
          <t xml:space="preserve">P2 — Haute</t>
        </is>
      </c>
      <c r="C14" s="41" t="inlineStr">
        <is>
          <t xml:space="preserve">Label « Propulsé par … » dynamique</t>
        </is>
      </c>
      <c r="D14" s="41" t="inlineStr">
        <is>
          <t xml:space="preserve">L'en-tête du chat affiche le fournisseur réel</t>
        </is>
      </c>
      <c r="E14" s="41" t="inlineStr">
        <is>
          <t xml:space="preserve">Chat disponible</t>
        </is>
      </c>
      <c r="F14" s="41" t="inlineStr">
        <is>
          <t xml:space="preserve">1. Ouvrir le chat
2. Lire l'en-tête sous le titre</t>
        </is>
      </c>
      <c r="G14" s="41" t="inlineStr">
        <is>
          <t xml:space="preserve">« Propulsé par Mistral AI » (ou Claude selon config), pas « Claude » en dur</t>
        </is>
      </c>
      <c r="H14" s="41" t="inlineStr">
        <is>
          <t xml:space="preserve">Label dynamique : /ai/status renvoie provider ; UI mappe 'Propulse par Mistral AI' (pas Claude en dur).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24/06/2026</t>
        </is>
      </c>
      <c r="L14" s="41" t="inlineStr"/>
      <c r="M14" s="41" t="inlineStr"/>
      <c r="N14" s="41" t="inlineStr"/>
      <c r="O14" s="41" t="inlineStr">
        <is>
          <t xml:space="preserve">Corrections 23/06</t>
        </is>
      </c>
      <c r="P14" s="41" t="inlineStr">
        <is>
          <t xml:space="preserve">Production</t>
        </is>
      </c>
    </row>
    <row r="15" ht="58" customHeight="1">
      <c r="A15" s="49" t="inlineStr">
        <is>
          <t xml:space="preserve">AI-103</t>
        </is>
      </c>
      <c r="B15" s="40" t="inlineStr">
        <is>
          <t xml:space="preserve">P1 — Critique</t>
        </is>
      </c>
      <c r="C15" s="41" t="inlineStr">
        <is>
          <t xml:space="preserve">Rendu markdown des réponses IA</t>
        </is>
      </c>
      <c r="D15" s="41" t="inlineStr">
        <is>
          <t xml:space="preserve">Titres, listes, tableaux, gras correctement rendus</t>
        </is>
      </c>
      <c r="E15" s="41" t="inlineStr">
        <is>
          <t xml:space="preserve">Chat disponible</t>
        </is>
      </c>
      <c r="F15" s="41" t="inlineStr">
        <is>
          <t xml:space="preserve">1. Poser une question dont la réponse contient une liste/un tableau</t>
        </is>
      </c>
      <c r="G15" s="41" t="inlineStr">
        <is>
          <t xml:space="preserve">Mise en forme propre, plus de **, #, - bruts à l'écran</t>
        </is>
      </c>
      <c r="H15" s="41" t="inlineStr">
        <is>
          <t xml:space="preserve">Rendu markdown (react-markdown + remark-gfm) : listes/tableaux mis en forme, plus de **,#,- bruts (verifie code MarkdownMessage).</t>
        </is>
      </c>
      <c r="I15" s="42" t="inlineStr">
        <is>
          <t xml:space="preserve">✅ Passé</t>
        </is>
      </c>
      <c r="J15" s="41" t="inlineStr">
        <is>
          <t xml:space="preserve">Agents IA + live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 xml:space="preserve">Corrections 23/06</t>
        </is>
      </c>
      <c r="P15" s="41" t="inlineStr">
        <is>
          <t xml:space="preserve">Production</t>
        </is>
      </c>
    </row>
    <row r="16" ht="58" customHeight="1">
      <c r="A16" s="49" t="inlineStr">
        <is>
          <t xml:space="preserve">AI-104</t>
        </is>
      </c>
      <c r="B16" s="40" t="inlineStr">
        <is>
          <t xml:space="preserve">P1 — Critique</t>
        </is>
      </c>
      <c r="C16" s="41" t="inlineStr">
        <is>
          <t xml:space="preserve">Conso tokens IA par tenant (super_admin)</t>
        </is>
      </c>
      <c r="D16" s="41" t="inlineStr">
        <is>
          <t xml:space="preserve">Vue /platform/ai-usage (clé plateforme uniquement)</t>
        </is>
      </c>
      <c r="E16" s="41" t="inlineStr">
        <is>
          <t xml:space="preserve">Super_admin connecté, ≥1 tenant ayant utilisé la clé plateforme</t>
        </is>
      </c>
      <c r="F16" s="41" t="inlineStr">
        <is>
          <t xml:space="preserve">1. /platform → Consommation IA</t>
        </is>
      </c>
      <c r="G16" s="41" t="inlineStr">
        <is>
          <t xml:space="preserve">Tableau par tenant : tokens entrée/sortie, appels, coût estimé</t>
        </is>
      </c>
      <c r="H16" s="41" t="inlineStr">
        <is>
          <t xml:space="preserve">GET /platform/ai-usage 200 (super_admin) : tableau par tenant (tokens E/S, appels, cout estime) + totaux.</t>
        </is>
      </c>
      <c r="I16" s="42" t="inlineStr">
        <is>
          <t xml:space="preserve">✅ Passé</t>
        </is>
      </c>
      <c r="J16" s="41" t="inlineStr">
        <is>
          <t xml:space="preserve">Agents IA + live</t>
        </is>
      </c>
      <c r="K16" s="41" t="inlineStr">
        <is>
          <t xml:space="preserve">24/06/2026</t>
        </is>
      </c>
      <c r="L16" s="41" t="inlineStr"/>
      <c r="M16" s="41" t="inlineStr"/>
      <c r="N16" s="41" t="inlineStr"/>
      <c r="O16" s="41" t="inlineStr">
        <is>
          <t xml:space="preserve">Corrections 23/06</t>
        </is>
      </c>
      <c r="P16" s="41" t="inlineStr">
        <is>
          <t xml:space="preserve">Production</t>
        </is>
      </c>
    </row>
    <row r="17" ht="58" customHeight="1">
      <c r="A17" s="49" t="inlineStr">
        <is>
          <t xml:space="preserve">AI-105</t>
        </is>
      </c>
      <c r="B17" s="40" t="inlineStr">
        <is>
          <t xml:space="preserve">P1 — Critique</t>
        </is>
      </c>
      <c r="C17" s="41" t="inlineStr">
        <is>
          <t xml:space="preserve">Toggle clé IA plateforme par tenant</t>
        </is>
      </c>
      <c r="D17" s="41" t="inlineStr">
        <is>
          <t xml:space="preserve">Autoriser/refuser la clé générale pour un tenant ; clé tenant prioritaire</t>
        </is>
      </c>
      <c r="E17" s="41" t="inlineStr">
        <is>
          <t xml:space="preserve">Super_admin, page détail tenant</t>
        </is>
      </c>
      <c r="F17" s="41" t="inlineStr">
        <is>
          <t xml:space="preserve">1. /platform/tenants/{id}
2. Basculer « Autoriser la clé IA plateforme »
3. Désactiver puis tester le chat du tenant</t>
        </is>
      </c>
      <c r="G17" s="41" t="inlineStr">
        <is>
          <t xml:space="preserve">Si désactivé + pas de clé tenant → IA indisponible pour ce tenant</t>
        </is>
      </c>
      <c r="H17" s="41" t="inlineStr">
        <is>
          <t xml:space="preserve">Toggle ai_platform_key_enabled : a false + sans cle tenant -&gt; /ai/status available=false (IA indisponible) ; re-activation OK.</t>
        </is>
      </c>
      <c r="I17" s="42" t="inlineStr">
        <is>
          <t xml:space="preserve">✅ Passé</t>
        </is>
      </c>
      <c r="J17" s="41" t="inlineStr">
        <is>
          <t xml:space="preserve">Agents IA + live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 xml:space="preserve">Corrections 23/06</t>
        </is>
      </c>
      <c r="P17" s="41" t="inlineStr">
        <is>
          <t xml:space="preserve"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 &amp; ANALYTICS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>
        <is>
          <t xml:space="preserve">GET /reporting/overview?year=2026 200 : activeEmployees=81 (~80 SOTRA), coherent BD. KPIs effectifs/masse salariale/CNPS.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>
        <is>
          <t xml:space="preserve">Evolution mensuelle : payrollEvolution avec employees_count par mois AJOUTE (15 mois) — serie effectifs disponible.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>
        <is>
          <t xml:space="preserve">departments[] : 8 departements avec compteurs (BarChart), ordonne.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>
        <is>
          <t xml:space="preserve">Cotisations CNPS : annualTotals.totalCnps=25 569 220 FCFA + total_cnps mensuel (somme bulletins du mois).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>
        <is>
          <t xml:space="preserve">absencesByType[] (3 types) -&gt; taux absenteisme calcule sur absences approuvees (page Reporting).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>
        <is>
          <t xml:space="preserve">Export masse salariale : GET /payroll/livre-de-paie/2026/export 200 CSV (par employe : brut/net/cotisations FCFA, BOM UTF-8).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>
        <is>
          <t xml:space="preserve">GET /reporting/insights 200 (AJOUT recette) : max 3 alertes calculees sur donnees reelles (absenteisme/essais/echeance CNPS) -&gt; panneau Insights IA dashboard.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>
        <is>
          <t xml:space="preserve">Alerte 'Declaration CNPS avant le 15' : carte dashboard + insight dynamique cnps_deadline (genere si jour &lt;= 15).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>
        <is>
          <t xml:space="preserve">PATCH /settings/tenant {logo_url:data:image} 200 ; sélecteur de fichier logo (PNG/JPG -&gt; data URL) ajouté à Apparence (aperçu, cap 1 Mo). Logo appliqué sidebar + login (/public/brand/by-slug).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>
        <is>
          <t xml:space="preserve">PATCH /settings/tenant {primary_color,secondary_color} 200, appliqué en direct (updateTenantConfig).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>
        <is>
          <t xml:space="preserve">GET /settings/users 200 : 8 utilisateurs (email, rôle, statut, date).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>
        <is>
          <t xml:space="preserve">POST /settings/users 201 + email d'invitation (emailSent) + tempPassword filet. SÉCURITÉ : injection role='super_admin' à la création bloquée (400) — allowlist rôles tenant + Zod (OWASP A01).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>
        <is>
          <t xml:space="preserve">PATCH /settings/users/:id {role} 200 (allowlist tenant ; super_admin refusé).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>
        <is>
          <t xml:space="preserve">PATCH /settings/users/:id {is_active:false} 200 — compte désactivé.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SET-101</t>
        </is>
      </c>
      <c r="B9" s="40" t="inlineStr">
        <is>
          <t xml:space="preserve">P1 — Critique</t>
        </is>
      </c>
      <c r="C9" s="41" t="inlineStr">
        <is>
          <t xml:space="preserve">Rubrique de paie — type cotisation</t>
        </is>
      </c>
      <c r="D9" s="41" t="inlineStr">
        <is>
          <t xml:space="preserve">Cotisation salariale/patronale acceptée (valeur canonique)</t>
        </is>
      </c>
      <c r="E9" s="41" t="inlineStr">
        <is>
          <t xml:space="preserve">Admin connecté</t>
        </is>
      </c>
      <c r="F9" s="41" t="inlineStr">
        <is>
          <t xml:space="preserve">1. /settings → Rubriques de paie → Ajouter
2. Type = Cotisation salariale
3. Enregistrer</t>
        </is>
      </c>
      <c r="G9" s="41" t="inlineStr">
        <is>
          <t xml:space="preserve">Rubrique créée, plus de 400 « type invalide »</t>
        </is>
      </c>
      <c r="H9" s="41" t="inlineStr">
        <is>
          <t xml:space="preserve">POST /settings/payroll-rules {type:employee_contribution,rate:0.063} 201. CORRECTIF : colonnes réelles label/formula (avant name/rate inexistantes -&gt; 500 systématique) ; rate seul -&gt; formule 'BRUT * 0.063'.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  <row r="10" ht="58" customHeight="1">
      <c r="A10" s="49" t="inlineStr">
        <is>
          <t xml:space="preserve">SET-102</t>
        </is>
      </c>
      <c r="B10" s="40" t="inlineStr">
        <is>
          <t xml:space="preserve">P2 — Haute</t>
        </is>
      </c>
      <c r="C10" s="41" t="inlineStr">
        <is>
          <t xml:space="preserve">Taux AT saisi en décimal</t>
        </is>
      </c>
      <c r="D10" s="41" t="inlineStr">
        <is>
          <t xml:space="preserve">Le taux AT « 0.03 » (chaîne) est accepté</t>
        </is>
      </c>
      <c r="E10" s="41" t="inlineStr">
        <is>
          <t xml:space="preserve">Admin connecté</t>
        </is>
      </c>
      <c r="F10" s="41" t="inlineStr">
        <is>
          <t xml:space="preserve">1. /settings → Général
2. Taux AT = 0.03
3. Enregistrer</t>
        </is>
      </c>
      <c r="G10" s="41" t="inlineStr">
        <is>
          <t xml:space="preserve">Enregistré, plus de 400</t>
        </is>
      </c>
      <c r="H10" s="41" t="inlineStr">
        <is>
          <t xml:space="preserve">AT en décimal 0.03 accepté (POST /settings/legal-entities at_rate=0.0300, borne 0.02-0.05).</t>
        </is>
      </c>
      <c r="I10" s="42" t="inlineStr">
        <is>
          <t xml:space="preserve">✅ Passé</t>
        </is>
      </c>
      <c r="J10" s="41" t="inlineStr">
        <is>
          <t xml:space="preserve">Agents IA + live</t>
        </is>
      </c>
      <c r="K10" s="41" t="inlineStr">
        <is>
          <t xml:space="preserve">24/06/2026</t>
        </is>
      </c>
      <c r="L10" s="41" t="inlineStr"/>
      <c r="M10" s="41" t="inlineStr"/>
      <c r="N10" s="41" t="inlineStr"/>
      <c r="O10" s="41" t="inlineStr">
        <is>
          <t xml:space="preserve">Corrections 23/06</t>
        </is>
      </c>
      <c r="P10" s="41" t="inlineStr">
        <is>
          <t xml:space="preserve">Production</t>
        </is>
      </c>
    </row>
    <row r="11" ht="58" customHeight="1">
      <c r="A11" s="49" t="inlineStr">
        <is>
          <t xml:space="preserve">SET-103</t>
        </is>
      </c>
      <c r="B11" s="40" t="inlineStr">
        <is>
          <t xml:space="preserve">P2 — Haute</t>
        </is>
      </c>
      <c r="C11" s="41" t="inlineStr">
        <is>
          <t xml:space="preserve">Entité juridique — forme SASU/SNC/ONG</t>
        </is>
      </c>
      <c r="D11" s="41" t="inlineStr">
        <is>
          <t xml:space="preserve">Formes juridiques CI proposées acceptées</t>
        </is>
      </c>
      <c r="E11" s="41" t="inlineStr">
        <is>
          <t xml:space="preserve">Admin connecté</t>
        </is>
      </c>
      <c r="F11" s="41" t="inlineStr">
        <is>
          <t xml:space="preserve">1. Entités juridiques → Nouvelle
2. Forme = SASU
3. Enregistrer</t>
        </is>
      </c>
      <c r="G11" s="41" t="inlineStr">
        <is>
          <t xml:space="preserve">Entité créée, plus de 400</t>
        </is>
      </c>
      <c r="H11" s="41" t="inlineStr">
        <is>
          <t xml:space="preserve">Forme juridique ONG/SASU/SNC acceptée (enum legal_form étendu) 201.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>
        <is>
          <t xml:space="preserve">super_admin : redirectTo='/platform/dashboard' au login + 403 sur les données tenant (GET /employees) — jamais l'interface RH.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>
        <is>
          <t xml:space="preserve">admin tenant : GET /platform/tenants -&gt; 403 (jamais l'interface super_admin).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>
        <is>
          <t xml:space="preserve">employee : GET /employees -&gt; 403 (UI redirige /mon-espace via guard).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>
        <is>
          <t xml:space="preserve">hr_officer : POST /payroll/periods/:m/close -&gt; 403 (clôture réservée admin/hr_manager).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>
        <is>
          <t xml:space="preserve">manager : GET /employees ne renvoie QUE l'équipe directe (30 Exploitation, pas les 81). CORRECTIF : filtre via employeeId du token (email non unique faussait l'équipe).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>
        <is>
          <t xml:space="preserve">readonly : aucune route d'écriture ne liste 'readonly' dans authorize -&gt; lecture seule par construction (OWASP A01).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>
        <is>
          <t xml:space="preserve">Isolation multi-tenant : le schéma vient du JWT SIGNÉ (non forgeable) ; un token SOTRA ne voit que SOTRA, aucune fuite cross-tenant.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</sheetData>
  <mergeCells count="1">
    <mergeCell ref="A1:P1"/>
  </mergeCells>
  <conditionalFormatting sqref="A3:P9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>
        <is>
          <t xml:space="preserve">GET /absences/balances 200 : soldes CP/Maladie (acquis/pris/restant) + barres colorées (MonEspace).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>
        <is>
          <t xml:space="preserve">GET /payroll/my-payslips 200 : badge 'Nouveau' sur bulletin non consulté (viewed_by_employee_at null).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>
        <is>
          <t xml:space="preserve">Sidebar employé (EmployeeLayout) : 100% /mon-espace/* — AUCUN lien /employees, /payroll, /recruitment (sécurité OK). NB : 10 items self-service (intégration/carrière/offres/climat ajoutés) au lieu des 6 d'origine.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>
        <is>
          <t xml:space="preserve">PATCH /employees/:id (son propre dossier) 200 : téléphone + Mobile Money modifiables ; édition d'un AUTRE dossier -&gt; 403 (IDOR/A01).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>
        <is>
          <t xml:space="preserve">POST /auth/change-password : ancien mot de passe vérifié (400 si incorrect), session conservée (JWT non rotaté).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>
        <is>
          <t xml:space="preserve">GET /absences/my-absences 200 : 3 dernières absences + badge statut coloré.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>
        <is>
          <t xml:space="preserve">Section 'Formations recommandées' (2 cards) AJOUTÉE au dashboard /mon-espace (GET /training/catalog).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>
        <is>
          <t xml:space="preserve">GET /payroll/my-payslips 200 : mois, net payable FCFA, statut, bouton Télécharger PDF (GET /my-payslips/:id/pdf).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>
        <is>
          <t xml:space="preserve">Flux admin : POST /employees (250 000 FCFA) 201 ; période de paie générée+clôturée (feuille PAY) ; bulletin PDF GET /my-payslips/:id/pdf 200. Sans 404/500.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>
        <is>
          <t xml:space="preserve">Flux employé : POST /absences (CP 3 j) 201 + POST /expenses (brouillon) 201 + bulletin PDF — toutes actions OK.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>
        <is>
          <t xml:space="preserve">Flux RH : POST /recruitment/jobs 201 -&gt; POST /applications 201 -&gt; PATCH stage=hired -&gt; POST /ai/generate-document type=cdi_ci 200 (contrat OHADA).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>
        <is>
          <t xml:space="preserve">Flux CNPS : POST /cnps/declarations/generate {legalEntityId} (tenant multi-filiale) -&gt; déclaration créée ; GET /cnps/declarations/:id/export -&gt; CSV e-CNPS cohérent.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>
        <is>
          <t xml:space="preserve">Création tenant via portail : POST /platform/tenants {seedDemoData:true} 201 + tempPassword -&gt; login admin OK -&gt; dashboard 8 employés (aucun écran vide).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>
        <is>
          <t xml:space="preserve">Mobile Money : endpoint campagne fonctionnel (validation + requête bulletins éligibles) ; cycle complet Wave execute-&gt;callback-&gt;payé + référence TXN validé feuille MM. 404 'aucun bulletin éligible' attendu sur mois déjà payés par le seed.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2026-05-15T17:16:47Z</dcterms:modified>
</cp:coreProperties>
</file>