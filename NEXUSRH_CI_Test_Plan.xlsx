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GUIDE" sheetId="2" state="visible" r:id="rId2"/>
    <sheet xmlns:r="http://schemas.openxmlformats.org/officeDocument/2006/relationships" name="AUTH" sheetId="3" state="visible" r:id="rId3"/>
    <sheet xmlns:r="http://schemas.openxmlformats.org/officeDocument/2006/relationships" name="PLT" sheetId="4" state="visible" r:id="rId4"/>
    <sheet xmlns:r="http://schemas.openxmlformats.org/officeDocument/2006/relationships" name="EMP" sheetId="5" state="visible" r:id="rId5"/>
    <sheet xmlns:r="http://schemas.openxmlformats.org/officeDocument/2006/relationships" name="PAY" sheetId="6" state="visible" r:id="rId6"/>
    <sheet xmlns:r="http://schemas.openxmlformats.org/officeDocument/2006/relationships" name="ABS" sheetId="7" state="visible" r:id="rId7"/>
    <sheet xmlns:r="http://schemas.openxmlformats.org/officeDocument/2006/relationships" name="REC" sheetId="8" state="visible" r:id="rId8"/>
    <sheet xmlns:r="http://schemas.openxmlformats.org/officeDocument/2006/relationships" name="SRC" sheetId="9" state="visible" r:id="rId9"/>
    <sheet xmlns:r="http://schemas.openxmlformats.org/officeDocument/2006/relationships" name="MPF" sheetId="10" state="visible" r:id="rId10"/>
    <sheet xmlns:r="http://schemas.openxmlformats.org/officeDocument/2006/relationships" name="FRM" sheetId="11" state="visible" r:id="rId11"/>
    <sheet xmlns:r="http://schemas.openxmlformats.org/officeDocument/2006/relationships" name="FRA" sheetId="12" state="visible" r:id="rId12"/>
    <sheet xmlns:r="http://schemas.openxmlformats.org/officeDocument/2006/relationships" name="CAR" sheetId="13" state="visible" r:id="rId13"/>
    <sheet xmlns:r="http://schemas.openxmlformats.org/officeDocument/2006/relationships" name="CNP" sheetId="14" state="visible" r:id="rId14"/>
    <sheet xmlns:r="http://schemas.openxmlformats.org/officeDocument/2006/relationships" name="MM" sheetId="15" state="visible" r:id="rId15"/>
    <sheet xmlns:r="http://schemas.openxmlformats.org/officeDocument/2006/relationships" name="AI" sheetId="16" state="visible" r:id="rId16"/>
    <sheet xmlns:r="http://schemas.openxmlformats.org/officeDocument/2006/relationships" name="REP" sheetId="17" state="visible" r:id="rId17"/>
    <sheet xmlns:r="http://schemas.openxmlformats.org/officeDocument/2006/relationships" name="SET" sheetId="18" state="visible" r:id="rId18"/>
    <sheet xmlns:r="http://schemas.openxmlformats.org/officeDocument/2006/relationships" name="RBA" sheetId="19" state="visible" r:id="rId19"/>
    <sheet xmlns:r="http://schemas.openxmlformats.org/officeDocument/2006/relationships" name="ESP" sheetId="20" state="visible" r:id="rId20"/>
    <sheet xmlns:r="http://schemas.openxmlformats.org/officeDocument/2006/relationships" name="WF" sheetId="21" state="visible" r:id="rId21"/>
    <sheet xmlns:r="http://schemas.openxmlformats.org/officeDocument/2006/relationships" name="TPS" sheetId="22" state="visible" r:id="rId22"/>
    <sheet xmlns:r="http://schemas.openxmlformats.org/officeDocument/2006/relationships" name="TAL" sheetId="23" state="visible" r:id="rId23"/>
    <sheet xmlns:r="http://schemas.openxmlformats.org/officeDocument/2006/relationships" name="OFF" sheetId="24" state="visible" r:id="rId24"/>
    <sheet xmlns:r="http://schemas.openxmlformats.org/officeDocument/2006/relationships" name="INT" sheetId="25" state="visible" r:id="rId25"/>
    <sheet xmlns:r="http://schemas.openxmlformats.org/officeDocument/2006/relationships" name="CFG" sheetId="26" state="visible" r:id="rId26"/>
    <sheet xmlns:r="http://schemas.openxmlformats.org/officeDocument/2006/relationships" name="CAB" sheetId="27" state="visible" r:id="rId27"/>
    <sheet xmlns:r="http://schemas.openxmlformats.org/officeDocument/2006/relationships" name="E2E" sheetId="28" state="visible" r:id="rId28"/>
    <sheet xmlns:r="http://schemas.openxmlformats.org/officeDocument/2006/relationships" name="TICKETS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1E3A5F"/>
      <sz val="18"/>
    </font>
    <font>
      <name val="Calibri"/>
      <color rgb="0064748B"/>
      <sz val="1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sz val="9"/>
    </font>
    <font>
      <name val="Calibri"/>
      <sz val="9"/>
    </font>
    <font>
      <name val="Calibri"/>
      <b val="1"/>
      <color rgb="00FFFFFF"/>
      <sz val="10"/>
    </font>
    <font>
      <name val="Calibri"/>
      <b val="1"/>
      <color rgb="0016A34A"/>
      <sz val="18"/>
    </font>
    <font>
      <name val="Calibri"/>
      <b val="1"/>
      <color rgb="00DC2626"/>
      <sz val="18"/>
    </font>
    <font>
      <name val="Calibri"/>
      <b val="1"/>
      <color rgb="00D97706"/>
      <sz val="18"/>
    </font>
    <font>
      <name val="Calibri"/>
      <b val="1"/>
      <color rgb="002563EB"/>
      <sz val="18"/>
    </font>
    <font>
      <name val="Calibri"/>
      <b val="1"/>
      <color rgb="0064748B"/>
      <sz val="18"/>
    </font>
    <font>
      <name val="Calibri"/>
      <b val="1"/>
      <color rgb="00E85D04"/>
      <sz val="18"/>
    </font>
    <font>
      <name val="Calibri"/>
      <b val="1"/>
      <color rgb="00FFFFFF"/>
      <sz val="13"/>
    </font>
    <font>
      <name val="Calibri"/>
      <b val="1"/>
      <color rgb="00FFFFFF"/>
      <sz val="12"/>
    </font>
    <font>
      <name val="Calibri"/>
      <b val="1"/>
      <color rgb="00DC2626"/>
      <sz val="9"/>
    </font>
    <font>
      <name val="Calibri"/>
      <color rgb="0064748B"/>
      <sz val="9"/>
    </font>
    <font>
      <name val="Calibri"/>
      <b val="1"/>
      <color rgb="00D97706"/>
      <sz val="9"/>
    </font>
    <font>
      <name val="Calibri"/>
      <b val="1"/>
      <color rgb="002563EB"/>
      <sz val="9"/>
    </font>
    <font>
      <name val="Calibri"/>
      <color rgb="009CA3AF"/>
      <sz val="9"/>
    </font>
    <font>
      <name val="Calibri"/>
      <i val="1"/>
      <color rgb="0064748B"/>
      <sz val="8"/>
    </font>
  </fonts>
  <fills count="37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374151"/>
      </patternFill>
    </fill>
    <fill>
      <patternFill patternType="solid">
        <fgColor rgb="00166534"/>
      </patternFill>
    </fill>
    <fill>
      <patternFill patternType="solid">
        <fgColor rgb="007F1D1D"/>
      </patternFill>
    </fill>
    <fill>
      <patternFill patternType="solid">
        <fgColor rgb="0078350F"/>
      </patternFill>
    </fill>
    <fill>
      <patternFill patternType="solid">
        <fgColor rgb="001E40AF"/>
      </patternFill>
    </fill>
    <fill>
      <patternFill patternType="solid">
        <fgColor rgb="00FFFFFF"/>
      </patternFill>
    </fill>
    <fill>
      <patternFill patternType="solid">
        <fgColor rgb="00F4F6FB"/>
      </patternFill>
    </fill>
    <fill>
      <patternFill patternType="solid">
        <fgColor rgb="00F8FAFC"/>
      </patternFill>
    </fill>
    <fill>
      <patternFill patternType="solid">
        <fgColor rgb="0016A34A"/>
      </patternFill>
    </fill>
    <fill>
      <patternFill patternType="solid">
        <fgColor rgb="00DC2626"/>
      </patternFill>
    </fill>
    <fill>
      <patternFill patternType="solid">
        <fgColor rgb="00D97706"/>
      </patternFill>
    </fill>
    <fill>
      <patternFill patternType="solid">
        <fgColor rgb="002563EB"/>
      </patternFill>
    </fill>
    <fill>
      <patternFill patternType="solid">
        <fgColor rgb="0064748B"/>
      </patternFill>
    </fill>
    <fill>
      <patternFill patternType="solid">
        <fgColor rgb="00E85D04"/>
      </patternFill>
    </fill>
    <fill>
      <patternFill patternType="solid">
        <fgColor rgb="00DDE3EF"/>
      </patternFill>
    </fill>
    <fill>
      <patternFill patternType="solid">
        <fgColor rgb="00FEE2E2"/>
      </patternFill>
    </fill>
    <fill>
      <patternFill patternType="solid">
        <fgColor rgb="00FEF9C3"/>
      </patternFill>
    </fill>
    <fill>
      <patternFill patternType="solid">
        <fgColor rgb="00DBEAFE"/>
      </patternFill>
    </fill>
    <fill>
      <patternFill patternType="solid">
        <fgColor rgb="00312E81"/>
      </patternFill>
    </fill>
    <fill>
      <patternFill patternType="solid">
        <fgColor rgb="00065F46"/>
      </patternFill>
    </fill>
    <fill>
      <patternFill patternType="solid">
        <fgColor rgb="007C3AED"/>
      </patternFill>
    </fill>
    <fill>
      <patternFill patternType="solid">
        <fgColor rgb="00B45309"/>
      </patternFill>
    </fill>
    <fill>
      <patternFill patternType="solid">
        <fgColor rgb="000E7490"/>
      </patternFill>
    </fill>
    <fill>
      <patternFill patternType="solid">
        <fgColor rgb="00059669"/>
      </patternFill>
    </fill>
    <fill>
      <patternFill patternType="solid">
        <fgColor rgb="001D4ED8"/>
      </patternFill>
    </fill>
    <fill>
      <patternFill patternType="solid">
        <fgColor rgb="00BE185D"/>
      </patternFill>
    </fill>
    <fill>
      <patternFill patternType="solid">
        <fgColor rgb="006D28D9"/>
      </patternFill>
    </fill>
    <fill>
      <patternFill patternType="solid">
        <fgColor rgb="00FEF2F2"/>
      </patternFill>
    </fill>
    <fill>
      <patternFill patternType="solid">
        <fgColor rgb="000F766E"/>
      </patternFill>
    </fill>
    <fill>
      <patternFill patternType="solid">
        <fgColor rgb="009A3412"/>
      </patternFill>
    </fill>
    <fill>
      <patternFill patternType="solid">
        <fgColor rgb="004338CA"/>
      </patternFill>
    </fill>
    <fill>
      <patternFill patternType="solid">
        <fgColor rgb="000369A1"/>
      </patternFill>
    </fill>
    <fill>
      <patternFill patternType="solid">
        <fgColor rgb="00A16207"/>
      </patternFill>
    </fill>
    <fill>
      <patternFill patternType="solid">
        <fgColor rgb="00BE123C"/>
      </patternFill>
    </fill>
  </fills>
  <borders count="3">
    <border>
      <left/>
      <right/>
      <top/>
      <bottom/>
      <diagonal/>
    </border>
    <border>
      <left style="thin">
        <color rgb="00C0C8D8"/>
      </left>
      <right style="thin">
        <color rgb="00C0C8D8"/>
      </right>
      <top style="thin">
        <color rgb="00C0C8D8"/>
      </top>
      <bottom style="thin">
        <color rgb="00C0C8D8"/>
      </bottom>
    </border>
    <border>
      <left style="medium">
        <color rgb="001E3A5F"/>
      </left>
      <right style="medium">
        <color rgb="001E3A5F"/>
      </right>
      <top style="medium">
        <color rgb="001E3A5F"/>
      </top>
      <bottom style="medium">
        <color rgb="001E3A5F"/>
      </bottom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9" fontId="5" fillId="0" borderId="1" applyAlignment="1" pivotButton="0" quotePrefix="0" xfId="0">
      <alignment horizontal="center"/>
    </xf>
    <xf numFmtId="0" fontId="5" fillId="9" borderId="1" applyAlignment="1" pivotButton="0" quotePrefix="0" xfId="0">
      <alignment horizontal="left" vertical="center"/>
    </xf>
    <xf numFmtId="0" fontId="7" fillId="2" borderId="2" pivotButton="0" quotePrefix="0" xfId="0"/>
    <xf numFmtId="0" fontId="7" fillId="2" borderId="2" applyAlignment="1" pivotButton="0" quotePrefix="0" xfId="0">
      <alignment horizontal="center"/>
    </xf>
    <xf numFmtId="9" fontId="7" fillId="2" borderId="2" applyAlignment="1" pivotButton="0" quotePrefix="0" xfId="0">
      <alignment horizontal="center"/>
    </xf>
    <xf numFmtId="0" fontId="4" fillId="2" borderId="2" applyAlignment="1" pivotButton="0" quotePrefix="0" xfId="0">
      <alignment horizontal="center" vertical="bottom"/>
    </xf>
    <xf numFmtId="0" fontId="4" fillId="11" borderId="2" applyAlignment="1" pivotButton="0" quotePrefix="0" xfId="0">
      <alignment horizontal="center" vertical="bottom"/>
    </xf>
    <xf numFmtId="0" fontId="4" fillId="12" borderId="2" applyAlignment="1" pivotButton="0" quotePrefix="0" xfId="0">
      <alignment horizontal="center" vertical="bottom"/>
    </xf>
    <xf numFmtId="0" fontId="4" fillId="13" borderId="2" applyAlignment="1" pivotButton="0" quotePrefix="0" xfId="0">
      <alignment horizontal="center" vertical="bottom"/>
    </xf>
    <xf numFmtId="0" fontId="4" fillId="14" borderId="2" applyAlignment="1" pivotButton="0" quotePrefix="0" xfId="0">
      <alignment horizontal="center" vertical="bottom"/>
    </xf>
    <xf numFmtId="0" fontId="4" fillId="15" borderId="2" applyAlignment="1" pivotButton="0" quotePrefix="0" xfId="0">
      <alignment horizontal="center" vertical="bottom"/>
    </xf>
    <xf numFmtId="0" fontId="4" fillId="16" borderId="2" applyAlignment="1" pivotButton="0" quotePrefix="0" xfId="0">
      <alignment horizontal="center" vertical="bottom"/>
    </xf>
    <xf numFmtId="0" fontId="1" fillId="10" borderId="2" applyAlignment="1" pivotButton="0" quotePrefix="0" xfId="0">
      <alignment horizontal="center" vertical="center"/>
    </xf>
    <xf numFmtId="0" fontId="8" fillId="10" borderId="2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0" fillId="10" borderId="2" applyAlignment="1" pivotButton="0" quotePrefix="0" xfId="0">
      <alignment horizontal="center" vertical="center"/>
    </xf>
    <xf numFmtId="0" fontId="11" fillId="10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center" vertical="center"/>
    </xf>
    <xf numFmtId="9" fontId="8" fillId="10" borderId="2" applyAlignment="1" pivotButton="0" quotePrefix="0" xfId="0">
      <alignment horizontal="center" vertical="center"/>
    </xf>
    <xf numFmtId="0" fontId="13" fillId="10" borderId="2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7" fillId="16" borderId="0" applyAlignment="1" pivotButton="0" quotePrefix="0" xfId="0">
      <alignment horizontal="left" vertical="center"/>
    </xf>
    <xf numFmtId="0" fontId="5" fillId="17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16" fillId="1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top" wrapText="1"/>
    </xf>
    <xf numFmtId="0" fontId="17" fillId="10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top" wrapText="1"/>
    </xf>
    <xf numFmtId="0" fontId="18" fillId="19" borderId="1" applyAlignment="1" pivotButton="0" quotePrefix="0" xfId="0">
      <alignment horizontal="center" vertical="center"/>
    </xf>
    <xf numFmtId="0" fontId="19" fillId="20" borderId="1" applyAlignment="1" pivotButton="0" quotePrefix="0" xfId="0">
      <alignment horizontal="center" vertical="center"/>
    </xf>
    <xf numFmtId="0" fontId="15" fillId="21" borderId="0" applyAlignment="1" pivotButton="0" quotePrefix="0" xfId="0">
      <alignment horizontal="left" vertical="center"/>
    </xf>
    <xf numFmtId="0" fontId="4" fillId="21" borderId="1" applyAlignment="1" pivotButton="0" quotePrefix="0" xfId="0">
      <alignment horizontal="center" vertical="center"/>
    </xf>
    <xf numFmtId="0" fontId="15" fillId="22" borderId="0" applyAlignment="1" pivotButton="0" quotePrefix="0" xfId="0">
      <alignment horizontal="left" vertical="center"/>
    </xf>
    <xf numFmtId="0" fontId="4" fillId="22" borderId="1" applyAlignment="1" pivotButton="0" quotePrefix="0" xfId="0">
      <alignment horizontal="center" vertical="center"/>
    </xf>
    <xf numFmtId="0" fontId="15" fillId="23" borderId="0" applyAlignment="1" pivotButton="0" quotePrefix="0" xfId="0">
      <alignment horizontal="left" vertical="center"/>
    </xf>
    <xf numFmtId="0" fontId="4" fillId="23" borderId="1" applyAlignment="1" pivotButton="0" quotePrefix="0" xfId="0">
      <alignment horizontal="center" vertical="center"/>
    </xf>
    <xf numFmtId="0" fontId="15" fillId="24" borderId="0" applyAlignment="1" pivotButton="0" quotePrefix="0" xfId="0">
      <alignment horizontal="left" vertical="center"/>
    </xf>
    <xf numFmtId="0" fontId="4" fillId="24" borderId="1" applyAlignment="1" pivotButton="0" quotePrefix="0" xfId="0">
      <alignment horizontal="center" vertical="center"/>
    </xf>
    <xf numFmtId="0" fontId="15" fillId="25" borderId="0" applyAlignment="1" pivotButton="0" quotePrefix="0" xfId="0">
      <alignment horizontal="left" vertical="center"/>
    </xf>
    <xf numFmtId="0" fontId="4" fillId="25" borderId="1" applyAlignment="1" pivotButton="0" quotePrefix="0" xfId="0">
      <alignment horizontal="center" vertical="center"/>
    </xf>
    <xf numFmtId="0" fontId="15" fillId="26" borderId="0" applyAlignment="1" pivotButton="0" quotePrefix="0" xfId="0">
      <alignment horizontal="left" vertical="center"/>
    </xf>
    <xf numFmtId="0" fontId="4" fillId="26" borderId="1" applyAlignment="1" pivotButton="0" quotePrefix="0" xfId="0">
      <alignment horizontal="center" vertical="center"/>
    </xf>
    <xf numFmtId="0" fontId="15" fillId="27" borderId="0" applyAlignment="1" pivotButton="0" quotePrefix="0" xfId="0">
      <alignment horizontal="left" vertical="center"/>
    </xf>
    <xf numFmtId="0" fontId="4" fillId="27" borderId="1" applyAlignment="1" pivotButton="0" quotePrefix="0" xfId="0">
      <alignment horizontal="center" vertical="center"/>
    </xf>
    <xf numFmtId="0" fontId="15" fillId="28" borderId="0" applyAlignment="1" pivotButton="0" quotePrefix="0" xfId="0">
      <alignment horizontal="left" vertical="center"/>
    </xf>
    <xf numFmtId="0" fontId="4" fillId="28" borderId="1" applyAlignment="1" pivotButton="0" quotePrefix="0" xfId="0">
      <alignment horizontal="center" vertical="center"/>
    </xf>
    <xf numFmtId="0" fontId="15" fillId="29" borderId="0" applyAlignment="1" pivotButton="0" quotePrefix="0" xfId="0">
      <alignment horizontal="left" vertical="center"/>
    </xf>
    <xf numFmtId="0" fontId="4" fillId="29" borderId="1" applyAlignment="1" pivotButton="0" quotePrefix="0" xfId="0">
      <alignment horizontal="center" vertical="center"/>
    </xf>
    <xf numFmtId="0" fontId="15" fillId="3" borderId="0" applyAlignment="1" pivotButton="0" quotePrefix="0" xfId="0">
      <alignment horizontal="left" vertical="center"/>
    </xf>
    <xf numFmtId="0" fontId="15" fillId="5" borderId="0" applyAlignment="1" pivotButton="0" quotePrefix="0" xfId="0">
      <alignment horizontal="left" vertical="center"/>
    </xf>
    <xf numFmtId="0" fontId="20" fillId="30" borderId="1" applyAlignment="1" pivotButton="0" quotePrefix="0" xfId="0">
      <alignment horizontal="left" vertical="top" wrapText="1"/>
    </xf>
    <xf numFmtId="0" fontId="0" fillId="9" borderId="1" applyAlignment="1" pivotButton="0" quotePrefix="0" xfId="0">
      <alignment horizontal="left" vertical="top" wrapText="1"/>
    </xf>
    <xf numFmtId="0" fontId="0" fillId="8" borderId="1" applyAlignment="1" pivotButton="0" quotePrefix="0" xfId="0">
      <alignment horizontal="left" vertical="top" wrapText="1"/>
    </xf>
    <xf numFmtId="0" fontId="21" fillId="0" borderId="0" pivotButton="0" quotePrefix="0" xfId="0"/>
    <xf numFmtId="0" fontId="7" fillId="16" borderId="0" pivotButton="0" quotePrefix="0" xfId="0"/>
    <xf numFmtId="0" fontId="5" fillId="8" borderId="0" applyAlignment="1" pivotButton="0" quotePrefix="0" xfId="0">
      <alignment vertical="center" wrapText="1"/>
    </xf>
    <xf numFmtId="0" fontId="6" fillId="8" borderId="0" applyAlignment="1" pivotButton="0" quotePrefix="0" xfId="0">
      <alignment vertical="center" wrapText="1"/>
    </xf>
    <xf numFmtId="0" fontId="5" fillId="9" borderId="0" applyAlignment="1" pivotButton="0" quotePrefix="0" xfId="0">
      <alignment vertical="center" wrapText="1"/>
    </xf>
    <xf numFmtId="0" fontId="6" fillId="9" borderId="0" applyAlignment="1" pivotButton="0" quotePrefix="0" xfId="0">
      <alignment vertical="center" wrapText="1"/>
    </xf>
    <xf numFmtId="0" fontId="15" fillId="31" borderId="0" applyAlignment="1" pivotButton="0" quotePrefix="0" xfId="0">
      <alignment horizontal="left" vertical="center"/>
    </xf>
    <xf numFmtId="0" fontId="4" fillId="31" borderId="1" applyAlignment="1" pivotButton="0" quotePrefix="0" xfId="0">
      <alignment horizontal="center" vertical="center"/>
    </xf>
    <xf numFmtId="0" fontId="15" fillId="32" borderId="0" applyAlignment="1" pivotButton="0" quotePrefix="0" xfId="0">
      <alignment horizontal="left" vertical="center"/>
    </xf>
    <xf numFmtId="0" fontId="4" fillId="32" borderId="1" applyAlignment="1" pivotButton="0" quotePrefix="0" xfId="0">
      <alignment horizontal="center" vertical="center"/>
    </xf>
    <xf numFmtId="0" fontId="15" fillId="33" borderId="0" applyAlignment="1" pivotButton="0" quotePrefix="0" xfId="0">
      <alignment horizontal="left" vertical="center"/>
    </xf>
    <xf numFmtId="0" fontId="4" fillId="33" borderId="1" applyAlignment="1" pivotButton="0" quotePrefix="0" xfId="0">
      <alignment horizontal="center" vertical="center"/>
    </xf>
    <xf numFmtId="0" fontId="15" fillId="34" borderId="0" applyAlignment="1" pivotButton="0" quotePrefix="0" xfId="0">
      <alignment horizontal="left" vertical="center"/>
    </xf>
    <xf numFmtId="0" fontId="4" fillId="34" borderId="1" applyAlignment="1" pivotButton="0" quotePrefix="0" xfId="0">
      <alignment horizontal="center" vertical="center"/>
    </xf>
    <xf numFmtId="0" fontId="15" fillId="35" borderId="0" applyAlignment="1" pivotButton="0" quotePrefix="0" xfId="0">
      <alignment horizontal="left" vertical="center"/>
    </xf>
    <xf numFmtId="0" fontId="4" fillId="35" borderId="1" applyAlignment="1" pivotButton="0" quotePrefix="0" xfId="0">
      <alignment horizontal="center" vertical="center"/>
    </xf>
    <xf numFmtId="0" fontId="15" fillId="36" borderId="0" applyAlignment="1" pivotButton="0" quotePrefix="0" xfId="0">
      <alignment horizontal="left" vertical="center"/>
    </xf>
    <xf numFmtId="0" fontId="4" fillId="36" borderId="1" applyAlignment="1" pivotButton="0" quotePrefix="0" xfId="0">
      <alignment horizontal="center" vertical="center"/>
    </xf>
  </cellXfs>
  <cellStyles count="1">
    <cellStyle name="Normal" xfId="0" builtinId="0" hidden="0"/>
  </cellStyles>
  <dxfs count="5">
    <dxf>
      <font>
        <name val="Calibri"/>
        <color rgb="00166534"/>
        <sz val="9"/>
      </font>
      <fill>
        <patternFill patternType="solid">
          <fgColor rgb="00DCFCE7"/>
        </patternFill>
      </fill>
    </dxf>
    <dxf>
      <font>
        <name val="Calibri"/>
        <color rgb="007F1D1D"/>
        <sz val="9"/>
      </font>
      <fill>
        <patternFill patternType="solid">
          <fgColor rgb="00FEE2E2"/>
        </patternFill>
      </fill>
    </dxf>
    <dxf>
      <font>
        <name val="Calibri"/>
        <color rgb="0078350F"/>
        <sz val="9"/>
      </font>
      <fill>
        <patternFill patternType="solid">
          <fgColor rgb="00FEF9C3"/>
        </patternFill>
      </fill>
    </dxf>
    <dxf>
      <font>
        <name val="Calibri"/>
        <color rgb="001E40AF"/>
        <sz val="9"/>
      </font>
      <fill>
        <patternFill patternType="solid">
          <fgColor rgb="00DBEAFE"/>
        </patternFill>
      </fill>
    </dxf>
    <dxf>
      <font>
        <name val="Calibri"/>
        <color rgb="0064748B"/>
        <sz val="9"/>
      </font>
      <fill>
        <patternFill patternType="solid">
          <fgColor rgb="00F8FAF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Statut des tests par module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'DASHBOARD'!C6</f>
            </strRef>
          </tx>
          <spPr>
            <a:solidFill xmlns:a="http://schemas.openxmlformats.org/drawingml/2006/main">
              <a:srgbClr val="16A34A"/>
            </a:solidFill>
            <a:ln xmlns:a="http://schemas.openxmlformats.org/drawingml/2006/main">
              <a:solidFill>
                <a:srgbClr val="16A34A"/>
              </a:solidFill>
              <a:prstDash val="solid"/>
            </a:ln>
          </spPr>
          <cat>
            <numRef>
              <f>'DASHBOARD'!$A$7:$A$32</f>
            </numRef>
          </cat>
          <val>
            <numRef>
              <f>'DASHBOARD'!$C$7:$C$32</f>
            </numRef>
          </val>
        </ser>
        <ser>
          <idx val="1"/>
          <order val="1"/>
          <tx>
            <strRef>
              <f>'DASHBOARD'!D6</f>
            </strRef>
          </tx>
          <spPr>
            <a:solidFill xmlns:a="http://schemas.openxmlformats.org/drawingml/2006/main">
              <a:srgbClr val="DC2626"/>
            </a:solidFill>
            <a:ln xmlns:a="http://schemas.openxmlformats.org/drawingml/2006/main">
              <a:solidFill>
                <a:srgbClr val="DC2626"/>
              </a:solidFill>
              <a:prstDash val="solid"/>
            </a:ln>
          </spPr>
          <cat>
            <numRef>
              <f>'DASHBOARD'!$A$7:$A$32</f>
            </numRef>
          </cat>
          <val>
            <numRef>
              <f>'DASHBOARD'!$D$7:$D$32</f>
            </numRef>
          </val>
        </ser>
        <ser>
          <idx val="2"/>
          <order val="2"/>
          <tx>
            <strRef>
              <f>'DASHBOARD'!E6</f>
            </strRef>
          </tx>
          <spPr>
            <a:solidFill xmlns:a="http://schemas.openxmlformats.org/drawingml/2006/main">
              <a:srgbClr val="D97706"/>
            </a:solidFill>
            <a:ln xmlns:a="http://schemas.openxmlformats.org/drawingml/2006/main">
              <a:solidFill>
                <a:srgbClr val="D97706"/>
              </a:solidFill>
              <a:prstDash val="solid"/>
            </a:ln>
          </spPr>
          <cat>
            <numRef>
              <f>'DASHBOARD'!$A$7:$A$32</f>
            </numRef>
          </cat>
          <val>
            <numRef>
              <f>'DASHBOARD'!$E$7:$E$32</f>
            </numRef>
          </val>
        </ser>
        <ser>
          <idx val="3"/>
          <order val="3"/>
          <tx>
            <strRef>
              <f>'DASHBOARD'!F6</f>
            </strRef>
          </tx>
          <spPr>
            <a:solidFill xmlns:a="http://schemas.openxmlformats.org/drawingml/2006/main">
              <a:srgbClr val="2563EB"/>
            </a:solidFill>
            <a:ln xmlns:a="http://schemas.openxmlformats.org/drawingml/2006/main">
              <a:solidFill>
                <a:srgbClr val="2563EB"/>
              </a:solidFill>
              <a:prstDash val="solid"/>
            </a:ln>
          </spPr>
          <cat>
            <numRef>
              <f>'DASHBOARD'!$A$7:$A$32</f>
            </numRef>
          </cat>
          <val>
            <numRef>
              <f>'DASHBOARD'!$F$7:$F$32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Module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Nb scénarios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Distribution globale des statuts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16A34A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DC2626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D97706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2563EB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94A3B8"/>
              </a:solidFill>
              <a:ln xmlns:a="http://schemas.openxmlformats.org/drawingml/2006/main">
                <a:prstDash val="solid"/>
              </a:ln>
            </spPr>
          </dPt>
          <cat>
            <numRef>
              <f>'DASHBOARD'!$C$6:$G$6</f>
            </numRef>
          </cat>
          <val>
            <numRef>
              <f>'DASHBOARD'!$C$33:$G$33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image" Target="/xl/media/image1.png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40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40</row>
      <rowOff>0</rowOff>
    </from>
    <ext cx="432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0</row>
      <rowOff>0</rowOff>
    </from>
    <ext cx="1524000" cy="571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zoomScale="10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4" customWidth="1" min="9" max="9"/>
  </cols>
  <sheetData>
    <row r="1" ht="50" customHeight="1">
      <c r="C1" s="1" t="inlineStr">
        <is>
          <t>NexusRH CI — Cahier de Recettes Officiel
OpenLab Consulting · v1.0</t>
        </is>
      </c>
    </row>
    <row r="2" ht="50" customHeight="1"/>
    <row r="3" ht="20" customHeight="1">
      <c r="C3" s="2" t="inlineStr">
        <is>
          <t>Mis à jour le 25/10/2026  ·  Couverture cible : 100% des fonctionnalités  ·  statut vide = non exécuté</t>
        </is>
      </c>
    </row>
    <row r="5" ht="22" customHeight="1">
      <c r="A5" s="3" t="inlineStr">
        <is>
          <t xml:space="preserve">  RÉSUMÉ PAR MODULE</t>
        </is>
      </c>
    </row>
    <row r="6" ht="20" customHeight="1">
      <c r="A6" s="4" t="inlineStr">
        <is>
          <t>Module</t>
        </is>
      </c>
      <c r="B6" s="5" t="inlineStr">
        <is>
          <t>Total</t>
        </is>
      </c>
      <c r="C6" s="6" t="inlineStr">
        <is>
          <t>✅ Passé</t>
        </is>
      </c>
      <c r="D6" s="7" t="inlineStr">
        <is>
          <t>❌ Échoué</t>
        </is>
      </c>
      <c r="E6" s="8" t="inlineStr">
        <is>
          <t>⚠️ Bloqué</t>
        </is>
      </c>
      <c r="F6" s="9" t="inlineStr">
        <is>
          <t>▶️ En cours</t>
        </is>
      </c>
      <c r="G6" s="5" t="inlineStr">
        <is>
          <t>⬜ Non exécuté</t>
        </is>
      </c>
      <c r="H6" s="5" t="inlineStr">
        <is>
          <t>% Réussite</t>
        </is>
      </c>
      <c r="I6" s="5" t="inlineStr">
        <is>
          <t>Statut</t>
        </is>
      </c>
    </row>
    <row r="7" ht="18" customHeight="1">
      <c r="A7" s="10" t="inlineStr">
        <is>
          <t>Authentification</t>
        </is>
      </c>
      <c r="B7" s="11">
        <f>COUNTA('AUTH'!A:A)-2</f>
        <v/>
      </c>
      <c r="C7" s="12">
        <f>COUNTIF('AUTH'!I:I,"✅ Passé")</f>
        <v/>
      </c>
      <c r="D7" s="12">
        <f>COUNTIF('AUTH'!I:I,"❌ Échoué")</f>
        <v/>
      </c>
      <c r="E7" s="12">
        <f>COUNTIF('AUTH'!I:I,"⚠️ Bloqué")</f>
        <v/>
      </c>
      <c r="F7" s="12">
        <f>COUNTIF('AUTH'!I:I,"▶️ En cours")</f>
        <v/>
      </c>
      <c r="G7" s="12">
        <f>B7-SUM(C7:F7)</f>
        <v/>
      </c>
      <c r="H7" s="13">
        <f>IF(B7=0,0,C7/B7)</f>
        <v/>
      </c>
      <c r="I7" s="12">
        <f>IF(H7=1,"🟢 Complet",IF(H7&gt;0.7,"🟡 Avancé",IF(H7&gt;0,"🟠 En cours","⬜ À faire")))</f>
        <v/>
      </c>
    </row>
    <row r="8" ht="18" customHeight="1">
      <c r="A8" s="14" t="inlineStr">
        <is>
          <t>Portail Super Admin</t>
        </is>
      </c>
      <c r="B8" s="11">
        <f>COUNTA('PLT'!A:A)-2</f>
        <v/>
      </c>
      <c r="C8" s="12">
        <f>COUNTIF('PLT'!I:I,"✅ Passé")</f>
        <v/>
      </c>
      <c r="D8" s="12">
        <f>COUNTIF('PLT'!I:I,"❌ Échoué")</f>
        <v/>
      </c>
      <c r="E8" s="12">
        <f>COUNTIF('PLT'!I:I,"⚠️ Bloqué")</f>
        <v/>
      </c>
      <c r="F8" s="12">
        <f>COUNTIF('PLT'!I:I,"▶️ En cours")</f>
        <v/>
      </c>
      <c r="G8" s="12">
        <f>B8-SUM(C8:F8)</f>
        <v/>
      </c>
      <c r="H8" s="13">
        <f>IF(B8=0,0,C8/B8)</f>
        <v/>
      </c>
      <c r="I8" s="12">
        <f>IF(H8=1,"🟢 Complet",IF(H8&gt;0.7,"🟡 Avancé",IF(H8&gt;0,"🟠 En cours","⬜ À faire")))</f>
        <v/>
      </c>
    </row>
    <row r="9" ht="18" customHeight="1">
      <c r="A9" s="10" t="inlineStr">
        <is>
          <t>Employés &amp; contrats</t>
        </is>
      </c>
      <c r="B9" s="11">
        <f>COUNTA('EMP'!A:A)-2</f>
        <v/>
      </c>
      <c r="C9" s="12">
        <f>COUNTIF('EMP'!I:I,"✅ Passé")</f>
        <v/>
      </c>
      <c r="D9" s="12">
        <f>COUNTIF('EMP'!I:I,"❌ Échoué")</f>
        <v/>
      </c>
      <c r="E9" s="12">
        <f>COUNTIF('EMP'!I:I,"⚠️ Bloqué")</f>
        <v/>
      </c>
      <c r="F9" s="12">
        <f>COUNTIF('EMP'!I:I,"▶️ En cours")</f>
        <v/>
      </c>
      <c r="G9" s="12">
        <f>B9-SUM(C9:F9)</f>
        <v/>
      </c>
      <c r="H9" s="13">
        <f>IF(B9=0,0,C9/B9)</f>
        <v/>
      </c>
      <c r="I9" s="12">
        <f>IF(H9=1,"🟢 Complet",IF(H9&gt;0.7,"🟡 Avancé",IF(H9&gt;0,"🟠 En cours","⬜ À faire")))</f>
        <v/>
      </c>
    </row>
    <row r="10" ht="18" customHeight="1">
      <c r="A10" s="14" t="inlineStr">
        <is>
          <t>Paie CI (CNPS+ITS)</t>
        </is>
      </c>
      <c r="B10" s="11">
        <f>COUNTA('PAY'!A:A)-2</f>
        <v/>
      </c>
      <c r="C10" s="12">
        <f>COUNTIF('PAY'!I:I,"✅ Passé")</f>
        <v/>
      </c>
      <c r="D10" s="12">
        <f>COUNTIF('PAY'!I:I,"❌ Échoué")</f>
        <v/>
      </c>
      <c r="E10" s="12">
        <f>COUNTIF('PAY'!I:I,"⚠️ Bloqué")</f>
        <v/>
      </c>
      <c r="F10" s="12">
        <f>COUNTIF('PAY'!I:I,"▶️ En cours")</f>
        <v/>
      </c>
      <c r="G10" s="12">
        <f>B10-SUM(C10:F10)</f>
        <v/>
      </c>
      <c r="H10" s="13">
        <f>IF(B10=0,0,C10/B10)</f>
        <v/>
      </c>
      <c r="I10" s="12">
        <f>IF(H10=1,"🟢 Complet",IF(H10&gt;0.7,"🟡 Avancé",IF(H10&gt;0,"🟠 En cours","⬜ À faire")))</f>
        <v/>
      </c>
    </row>
    <row r="11" ht="18" customHeight="1">
      <c r="A11" s="10" t="inlineStr">
        <is>
          <t>Absences &amp; congés</t>
        </is>
      </c>
      <c r="B11" s="11">
        <f>COUNTA('ABS'!A:A)-2</f>
        <v/>
      </c>
      <c r="C11" s="12">
        <f>COUNTIF('ABS'!I:I,"✅ Passé")</f>
        <v/>
      </c>
      <c r="D11" s="12">
        <f>COUNTIF('ABS'!I:I,"❌ Échoué")</f>
        <v/>
      </c>
      <c r="E11" s="12">
        <f>COUNTIF('ABS'!I:I,"⚠️ Bloqué")</f>
        <v/>
      </c>
      <c r="F11" s="12">
        <f>COUNTIF('ABS'!I:I,"▶️ En cours")</f>
        <v/>
      </c>
      <c r="G11" s="12">
        <f>B11-SUM(C11:F11)</f>
        <v/>
      </c>
      <c r="H11" s="13">
        <f>IF(B11=0,0,C11/B11)</f>
        <v/>
      </c>
      <c r="I11" s="12">
        <f>IF(H11=1,"🟢 Complet",IF(H11&gt;0.7,"🟡 Avancé",IF(H11&gt;0,"🟠 En cours","⬜ À faire")))</f>
        <v/>
      </c>
    </row>
    <row r="12" ht="18" customHeight="1">
      <c r="A12" s="14" t="inlineStr">
        <is>
          <t>Recrutement</t>
        </is>
      </c>
      <c r="B12" s="11">
        <f>COUNTA('REC'!A:A)-2</f>
        <v/>
      </c>
      <c r="C12" s="12">
        <f>COUNTIF('REC'!I:I,"✅ Passé")</f>
        <v/>
      </c>
      <c r="D12" s="12">
        <f>COUNTIF('REC'!I:I,"❌ Échoué")</f>
        <v/>
      </c>
      <c r="E12" s="12">
        <f>COUNTIF('REC'!I:I,"⚠️ Bloqué")</f>
        <v/>
      </c>
      <c r="F12" s="12">
        <f>COUNTIF('REC'!I:I,"▶️ En cours")</f>
        <v/>
      </c>
      <c r="G12" s="12">
        <f>B12-SUM(C12:F12)</f>
        <v/>
      </c>
      <c r="H12" s="13">
        <f>IF(B12=0,0,C12/B12)</f>
        <v/>
      </c>
      <c r="I12" s="12">
        <f>IF(H12=1,"🟢 Complet",IF(H12&gt;0.7,"🟡 Avancé",IF(H12&gt;0,"🟠 En cours","⬜ À faire")))</f>
        <v/>
      </c>
    </row>
    <row r="13" ht="18" customHeight="1">
      <c r="A13" s="10" t="inlineStr">
        <is>
          <t>Sourcing IA</t>
        </is>
      </c>
      <c r="B13" s="11">
        <f>COUNTA('SRC'!A:A)-2</f>
        <v/>
      </c>
      <c r="C13" s="12">
        <f>COUNTIF('SRC'!I:I,"✅ Passé")</f>
        <v/>
      </c>
      <c r="D13" s="12">
        <f>COUNTIF('SRC'!I:I,"❌ Échoué")</f>
        <v/>
      </c>
      <c r="E13" s="12">
        <f>COUNTIF('SRC'!I:I,"⚠️ Bloqué")</f>
        <v/>
      </c>
      <c r="F13" s="12">
        <f>COUNTIF('SRC'!I:I,"▶️ En cours")</f>
        <v/>
      </c>
      <c r="G13" s="12">
        <f>B13-SUM(C13:F13)</f>
        <v/>
      </c>
      <c r="H13" s="13">
        <f>IF(B13=0,0,C13/B13)</f>
        <v/>
      </c>
      <c r="I13" s="12">
        <f>IF(H13=1,"🟢 Complet",IF(H13&gt;0.7,"🟡 Avancé",IF(H13&gt;0,"🟠 En cours","⬜ À faire")))</f>
        <v/>
      </c>
    </row>
    <row r="14" ht="18" customHeight="1">
      <c r="A14" s="14" t="inlineStr">
        <is>
          <t>Multi-pays &amp; filiales</t>
        </is>
      </c>
      <c r="B14" s="11">
        <f>COUNTA('MPF'!A:A)-2</f>
        <v/>
      </c>
      <c r="C14" s="12">
        <f>COUNTIF('MPF'!I:I,"✅ Passé")</f>
        <v/>
      </c>
      <c r="D14" s="12">
        <f>COUNTIF('MPF'!I:I,"❌ Échoué")</f>
        <v/>
      </c>
      <c r="E14" s="12">
        <f>COUNTIF('MPF'!I:I,"⚠️ Bloqué")</f>
        <v/>
      </c>
      <c r="F14" s="12">
        <f>COUNTIF('MPF'!I:I,"▶️ En cours")</f>
        <v/>
      </c>
      <c r="G14" s="12">
        <f>B14-SUM(C14:F14)</f>
        <v/>
      </c>
      <c r="H14" s="13">
        <f>IF(B14=0,0,C14/B14)</f>
        <v/>
      </c>
      <c r="I14" s="12">
        <f>IF(H14=1,"🟢 Complet",IF(H14&gt;0.7,"🟡 Avancé",IF(H14&gt;0,"🟠 En cours","⬜ À faire")))</f>
        <v/>
      </c>
    </row>
    <row r="15" ht="18" customHeight="1">
      <c r="A15" s="10" t="inlineStr">
        <is>
          <t>Formation / FDFP</t>
        </is>
      </c>
      <c r="B15" s="11">
        <f>COUNTA('FRM'!A:A)-2</f>
        <v/>
      </c>
      <c r="C15" s="12">
        <f>COUNTIF('FRM'!I:I,"✅ Passé")</f>
        <v/>
      </c>
      <c r="D15" s="12">
        <f>COUNTIF('FRM'!I:I,"❌ Échoué")</f>
        <v/>
      </c>
      <c r="E15" s="12">
        <f>COUNTIF('FRM'!I:I,"⚠️ Bloqué")</f>
        <v/>
      </c>
      <c r="F15" s="12">
        <f>COUNTIF('FRM'!I:I,"▶️ En cours")</f>
        <v/>
      </c>
      <c r="G15" s="12">
        <f>B15-SUM(C15:F15)</f>
        <v/>
      </c>
      <c r="H15" s="13">
        <f>IF(B15=0,0,C15/B15)</f>
        <v/>
      </c>
      <c r="I15" s="12">
        <f>IF(H15=1,"🟢 Complet",IF(H15&gt;0.7,"🟡 Avancé",IF(H15&gt;0,"🟠 En cours","⬜ À faire")))</f>
        <v/>
      </c>
    </row>
    <row r="16" ht="18" customHeight="1">
      <c r="A16" s="14" t="inlineStr">
        <is>
          <t>Notes de Frais</t>
        </is>
      </c>
      <c r="B16" s="11">
        <f>COUNTA('FRA'!A:A)-2</f>
        <v/>
      </c>
      <c r="C16" s="12">
        <f>COUNTIF('FRA'!I:I,"✅ Passé")</f>
        <v/>
      </c>
      <c r="D16" s="12">
        <f>COUNTIF('FRA'!I:I,"❌ Échoué")</f>
        <v/>
      </c>
      <c r="E16" s="12">
        <f>COUNTIF('FRA'!I:I,"⚠️ Bloqué")</f>
        <v/>
      </c>
      <c r="F16" s="12">
        <f>COUNTIF('FRA'!I:I,"▶️ En cours")</f>
        <v/>
      </c>
      <c r="G16" s="12">
        <f>B16-SUM(C16:F16)</f>
        <v/>
      </c>
      <c r="H16" s="13">
        <f>IF(B16=0,0,C16/B16)</f>
        <v/>
      </c>
      <c r="I16" s="12">
        <f>IF(H16=1,"🟢 Complet",IF(H16&gt;0.7,"🟡 Avancé",IF(H16&gt;0,"🟠 En cours","⬜ À faire")))</f>
        <v/>
      </c>
    </row>
    <row r="17" ht="18" customHeight="1">
      <c r="A17" s="10" t="inlineStr">
        <is>
          <t>Carrières</t>
        </is>
      </c>
      <c r="B17" s="11">
        <f>COUNTA('CAR'!A:A)-2</f>
        <v/>
      </c>
      <c r="C17" s="12">
        <f>COUNTIF('CAR'!I:I,"✅ Passé")</f>
        <v/>
      </c>
      <c r="D17" s="12">
        <f>COUNTIF('CAR'!I:I,"❌ Échoué")</f>
        <v/>
      </c>
      <c r="E17" s="12">
        <f>COUNTIF('CAR'!I:I,"⚠️ Bloqué")</f>
        <v/>
      </c>
      <c r="F17" s="12">
        <f>COUNTIF('CAR'!I:I,"▶️ En cours")</f>
        <v/>
      </c>
      <c r="G17" s="12">
        <f>B17-SUM(C17:F17)</f>
        <v/>
      </c>
      <c r="H17" s="13">
        <f>IF(B17=0,0,C17/B17)</f>
        <v/>
      </c>
      <c r="I17" s="12">
        <f>IF(H17=1,"🟢 Complet",IF(H17&gt;0.7,"🟡 Avancé",IF(H17&gt;0,"🟠 En cours","⬜ À faire")))</f>
        <v/>
      </c>
    </row>
    <row r="18" ht="18" customHeight="1">
      <c r="A18" s="14" t="inlineStr">
        <is>
          <t>CNPS &amp; DISA</t>
        </is>
      </c>
      <c r="B18" s="11">
        <f>COUNTA('CNP'!A:A)-2</f>
        <v/>
      </c>
      <c r="C18" s="12">
        <f>COUNTIF('CNP'!I:I,"✅ Passé")</f>
        <v/>
      </c>
      <c r="D18" s="12">
        <f>COUNTIF('CNP'!I:I,"❌ Échoué")</f>
        <v/>
      </c>
      <c r="E18" s="12">
        <f>COUNTIF('CNP'!I:I,"⚠️ Bloqué")</f>
        <v/>
      </c>
      <c r="F18" s="12">
        <f>COUNTIF('CNP'!I:I,"▶️ En cours")</f>
        <v/>
      </c>
      <c r="G18" s="12">
        <f>B18-SUM(C18:F18)</f>
        <v/>
      </c>
      <c r="H18" s="13">
        <f>IF(B18=0,0,C18/B18)</f>
        <v/>
      </c>
      <c r="I18" s="12">
        <f>IF(H18=1,"🟢 Complet",IF(H18&gt;0.7,"🟡 Avancé",IF(H18&gt;0,"🟠 En cours","⬜ À faire")))</f>
        <v/>
      </c>
    </row>
    <row r="19" ht="18" customHeight="1">
      <c r="A19" s="10" t="inlineStr">
        <is>
          <t>Mobile Money &amp; virements</t>
        </is>
      </c>
      <c r="B19" s="11">
        <f>COUNTA('MM'!A:A)-2</f>
        <v/>
      </c>
      <c r="C19" s="12">
        <f>COUNTIF('MM'!I:I,"✅ Passé")</f>
        <v/>
      </c>
      <c r="D19" s="12">
        <f>COUNTIF('MM'!I:I,"❌ Échoué")</f>
        <v/>
      </c>
      <c r="E19" s="12">
        <f>COUNTIF('MM'!I:I,"⚠️ Bloqué")</f>
        <v/>
      </c>
      <c r="F19" s="12">
        <f>COUNTIF('MM'!I:I,"▶️ En cours")</f>
        <v/>
      </c>
      <c r="G19" s="12">
        <f>B19-SUM(C19:F19)</f>
        <v/>
      </c>
      <c r="H19" s="13">
        <f>IF(B19=0,0,C19/B19)</f>
        <v/>
      </c>
      <c r="I19" s="12">
        <f>IF(H19=1,"🟢 Complet",IF(H19&gt;0.7,"🟡 Avancé",IF(H19&gt;0,"🟠 En cours","⬜ À faire")))</f>
        <v/>
      </c>
    </row>
    <row r="20" ht="18" customHeight="1">
      <c r="A20" s="14" t="inlineStr">
        <is>
          <t>Assistant IA</t>
        </is>
      </c>
      <c r="B20" s="11">
        <f>COUNTA('AI'!A:A)-2</f>
        <v/>
      </c>
      <c r="C20" s="12">
        <f>COUNTIF('AI'!I:I,"✅ Passé")</f>
        <v/>
      </c>
      <c r="D20" s="12">
        <f>COUNTIF('AI'!I:I,"❌ Échoué")</f>
        <v/>
      </c>
      <c r="E20" s="12">
        <f>COUNTIF('AI'!I:I,"⚠️ Bloqué")</f>
        <v/>
      </c>
      <c r="F20" s="12">
        <f>COUNTIF('AI'!I:I,"▶️ En cours")</f>
        <v/>
      </c>
      <c r="G20" s="12">
        <f>B20-SUM(C20:F20)</f>
        <v/>
      </c>
      <c r="H20" s="13">
        <f>IF(B20=0,0,C20/B20)</f>
        <v/>
      </c>
      <c r="I20" s="12">
        <f>IF(H20=1,"🟢 Complet",IF(H20&gt;0.7,"🟡 Avancé",IF(H20&gt;0,"🟠 En cours","⬜ À faire")))</f>
        <v/>
      </c>
    </row>
    <row r="21" ht="18" customHeight="1">
      <c r="A21" s="10" t="inlineStr">
        <is>
          <t>Reporting &amp; Vue DG</t>
        </is>
      </c>
      <c r="B21" s="11">
        <f>COUNTA('REP'!A:A)-2</f>
        <v/>
      </c>
      <c r="C21" s="12">
        <f>COUNTIF('REP'!I:I,"✅ Passé")</f>
        <v/>
      </c>
      <c r="D21" s="12">
        <f>COUNTIF('REP'!I:I,"❌ Échoué")</f>
        <v/>
      </c>
      <c r="E21" s="12">
        <f>COUNTIF('REP'!I:I,"⚠️ Bloqué")</f>
        <v/>
      </c>
      <c r="F21" s="12">
        <f>COUNTIF('REP'!I:I,"▶️ En cours")</f>
        <v/>
      </c>
      <c r="G21" s="12">
        <f>B21-SUM(C21:F21)</f>
        <v/>
      </c>
      <c r="H21" s="13">
        <f>IF(B21=0,0,C21/B21)</f>
        <v/>
      </c>
      <c r="I21" s="12">
        <f>IF(H21=1,"🟢 Complet",IF(H21&gt;0.7,"🟡 Avancé",IF(H21&gt;0,"🟠 En cours","⬜ À faire")))</f>
        <v/>
      </c>
    </row>
    <row r="22" ht="18" customHeight="1">
      <c r="A22" s="14" t="inlineStr">
        <is>
          <t>Paramètres</t>
        </is>
      </c>
      <c r="B22" s="11">
        <f>COUNTA('SET'!A:A)-2</f>
        <v/>
      </c>
      <c r="C22" s="12">
        <f>COUNTIF('SET'!I:I,"✅ Passé")</f>
        <v/>
      </c>
      <c r="D22" s="12">
        <f>COUNTIF('SET'!I:I,"❌ Échoué")</f>
        <v/>
      </c>
      <c r="E22" s="12">
        <f>COUNTIF('SET'!I:I,"⚠️ Bloqué")</f>
        <v/>
      </c>
      <c r="F22" s="12">
        <f>COUNTIF('SET'!I:I,"▶️ En cours")</f>
        <v/>
      </c>
      <c r="G22" s="12">
        <f>B22-SUM(C22:F22)</f>
        <v/>
      </c>
      <c r="H22" s="13">
        <f>IF(B22=0,0,C22/B22)</f>
        <v/>
      </c>
      <c r="I22" s="12">
        <f>IF(H22=1,"🟢 Complet",IF(H22&gt;0.7,"🟡 Avancé",IF(H22&gt;0,"🟠 En cours","⬜ À faire")))</f>
        <v/>
      </c>
    </row>
    <row r="23" ht="18" customHeight="1">
      <c r="A23" s="10" t="inlineStr">
        <is>
          <t>RBAC</t>
        </is>
      </c>
      <c r="B23" s="11">
        <f>COUNTA('RBA'!A:A)-2</f>
        <v/>
      </c>
      <c r="C23" s="12">
        <f>COUNTIF('RBA'!I:I,"✅ Passé")</f>
        <v/>
      </c>
      <c r="D23" s="12">
        <f>COUNTIF('RBA'!I:I,"❌ Échoué")</f>
        <v/>
      </c>
      <c r="E23" s="12">
        <f>COUNTIF('RBA'!I:I,"⚠️ Bloqué")</f>
        <v/>
      </c>
      <c r="F23" s="12">
        <f>COUNTIF('RBA'!I:I,"▶️ En cours")</f>
        <v/>
      </c>
      <c r="G23" s="12">
        <f>B23-SUM(C23:F23)</f>
        <v/>
      </c>
      <c r="H23" s="13">
        <f>IF(B23=0,0,C23/B23)</f>
        <v/>
      </c>
      <c r="I23" s="12">
        <f>IF(H23=1,"🟢 Complet",IF(H23&gt;0.7,"🟡 Avancé",IF(H23&gt;0,"🟠 En cours","⬜ À faire")))</f>
        <v/>
      </c>
    </row>
    <row r="24" ht="18" customHeight="1">
      <c r="A24" s="14" t="inlineStr">
        <is>
          <t>Espace Employé</t>
        </is>
      </c>
      <c r="B24" s="11">
        <f>COUNTA('ESP'!A:A)-2</f>
        <v/>
      </c>
      <c r="C24" s="12">
        <f>COUNTIF('ESP'!I:I,"✅ Passé")</f>
        <v/>
      </c>
      <c r="D24" s="12">
        <f>COUNTIF('ESP'!I:I,"❌ Échoué")</f>
        <v/>
      </c>
      <c r="E24" s="12">
        <f>COUNTIF('ESP'!I:I,"⚠️ Bloqué")</f>
        <v/>
      </c>
      <c r="F24" s="12">
        <f>COUNTIF('ESP'!I:I,"▶️ En cours")</f>
        <v/>
      </c>
      <c r="G24" s="12">
        <f>B24-SUM(C24:F24)</f>
        <v/>
      </c>
      <c r="H24" s="13">
        <f>IF(B24=0,0,C24/B24)</f>
        <v/>
      </c>
      <c r="I24" s="12">
        <f>IF(H24=1,"🟢 Complet",IF(H24&gt;0.7,"🟡 Avancé",IF(H24&gt;0,"🟠 En cours","⬜ À faire")))</f>
        <v/>
      </c>
    </row>
    <row r="25" ht="18" customHeight="1">
      <c r="A25" s="10" t="inlineStr">
        <is>
          <t>Workflows &amp; validations</t>
        </is>
      </c>
      <c r="B25" s="11">
        <f>COUNTA('WF'!A:A)-2</f>
        <v/>
      </c>
      <c r="C25" s="12">
        <f>COUNTIF('WF'!I:I,"✅ Passé")</f>
        <v/>
      </c>
      <c r="D25" s="12">
        <f>COUNTIF('WF'!I:I,"❌ Échoué")</f>
        <v/>
      </c>
      <c r="E25" s="12">
        <f>COUNTIF('WF'!I:I,"⚠️ Bloqué")</f>
        <v/>
      </c>
      <c r="F25" s="12">
        <f>COUNTIF('WF'!I:I,"▶️ En cours")</f>
        <v/>
      </c>
      <c r="G25" s="12">
        <f>B25-SUM(C25:F25)</f>
        <v/>
      </c>
      <c r="H25" s="13">
        <f>IF(B25=0,0,C25/B25)</f>
        <v/>
      </c>
      <c r="I25" s="12">
        <f>IF(H25=1,"🟢 Complet",IF(H25&gt;0.7,"🟡 Avancé",IF(H25&gt;0,"🟠 En cours","⬜ À faire")))</f>
        <v/>
      </c>
    </row>
    <row r="26" ht="18" customHeight="1">
      <c r="A26" s="14" t="inlineStr">
        <is>
          <t>Temps &amp; pointage</t>
        </is>
      </c>
      <c r="B26" s="11">
        <f>COUNTA('TPS'!A:A)-2</f>
        <v/>
      </c>
      <c r="C26" s="12">
        <f>COUNTIF('TPS'!I:I,"✅ Passé")</f>
        <v/>
      </c>
      <c r="D26" s="12">
        <f>COUNTIF('TPS'!I:I,"❌ Échoué")</f>
        <v/>
      </c>
      <c r="E26" s="12">
        <f>COUNTIF('TPS'!I:I,"⚠️ Bloqué")</f>
        <v/>
      </c>
      <c r="F26" s="12">
        <f>COUNTIF('TPS'!I:I,"▶️ En cours")</f>
        <v/>
      </c>
      <c r="G26" s="12">
        <f>B26-SUM(C26:F26)</f>
        <v/>
      </c>
      <c r="H26" s="13">
        <f>IF(B26=0,0,C26/B26)</f>
        <v/>
      </c>
      <c r="I26" s="12">
        <f>IF(H26=1,"🟢 Complet",IF(H26&gt;0.7,"🟡 Avancé",IF(H26&gt;0,"🟠 En cours","⬜ À faire")))</f>
        <v/>
      </c>
    </row>
    <row r="27" ht="18" customHeight="1">
      <c r="A27" s="10" t="inlineStr">
        <is>
          <t>Talents &amp; organisation</t>
        </is>
      </c>
      <c r="B27" s="11">
        <f>COUNTA('TAL'!A:A)-2</f>
        <v/>
      </c>
      <c r="C27" s="12">
        <f>COUNTIF('TAL'!I:I,"✅ Passé")</f>
        <v/>
      </c>
      <c r="D27" s="12">
        <f>COUNTIF('TAL'!I:I,"❌ Échoué")</f>
        <v/>
      </c>
      <c r="E27" s="12">
        <f>COUNTIF('TAL'!I:I,"⚠️ Bloqué")</f>
        <v/>
      </c>
      <c r="F27" s="12">
        <f>COUNTIF('TAL'!I:I,"▶️ En cours")</f>
        <v/>
      </c>
      <c r="G27" s="12">
        <f>B27-SUM(C27:F27)</f>
        <v/>
      </c>
      <c r="H27" s="13">
        <f>IF(B27=0,0,C27/B27)</f>
        <v/>
      </c>
      <c r="I27" s="12">
        <f>IF(H27=1,"🟢 Complet",IF(H27&gt;0.7,"🟡 Avancé",IF(H27&gt;0,"🟠 En cours","⬜ À faire")))</f>
        <v/>
      </c>
    </row>
    <row r="28" ht="18" customHeight="1">
      <c r="A28" s="14" t="inlineStr">
        <is>
          <t>Onboarding / Offboarding</t>
        </is>
      </c>
      <c r="B28" s="11">
        <f>COUNTA('OFF'!A:A)-2</f>
        <v/>
      </c>
      <c r="C28" s="12">
        <f>COUNTIF('OFF'!I:I,"✅ Passé")</f>
        <v/>
      </c>
      <c r="D28" s="12">
        <f>COUNTIF('OFF'!I:I,"❌ Échoué")</f>
        <v/>
      </c>
      <c r="E28" s="12">
        <f>COUNTIF('OFF'!I:I,"⚠️ Bloqué")</f>
        <v/>
      </c>
      <c r="F28" s="12">
        <f>COUNTIF('OFF'!I:I,"▶️ En cours")</f>
        <v/>
      </c>
      <c r="G28" s="12">
        <f>B28-SUM(C28:F28)</f>
        <v/>
      </c>
      <c r="H28" s="13">
        <f>IF(B28=0,0,C28/B28)</f>
        <v/>
      </c>
      <c r="I28" s="12">
        <f>IF(H28=1,"🟢 Complet",IF(H28&gt;0.7,"🟡 Avancé",IF(H28&gt;0,"🟠 En cours","⬜ À faire")))</f>
        <v/>
      </c>
    </row>
    <row r="29" ht="18" customHeight="1">
      <c r="A29" s="10" t="inlineStr">
        <is>
          <t>Intégrations &amp; sécurité</t>
        </is>
      </c>
      <c r="B29" s="11">
        <f>COUNTA('INT'!A:A)-2</f>
        <v/>
      </c>
      <c r="C29" s="12">
        <f>COUNTIF('INT'!I:I,"✅ Passé")</f>
        <v/>
      </c>
      <c r="D29" s="12">
        <f>COUNTIF('INT'!I:I,"❌ Échoué")</f>
        <v/>
      </c>
      <c r="E29" s="12">
        <f>COUNTIF('INT'!I:I,"⚠️ Bloqué")</f>
        <v/>
      </c>
      <c r="F29" s="12">
        <f>COUNTIF('INT'!I:I,"▶️ En cours")</f>
        <v/>
      </c>
      <c r="G29" s="12">
        <f>B29-SUM(C29:F29)</f>
        <v/>
      </c>
      <c r="H29" s="13">
        <f>IF(B29=0,0,C29/B29)</f>
        <v/>
      </c>
      <c r="I29" s="12">
        <f>IF(H29=1,"🟢 Complet",IF(H29&gt;0.7,"🟡 Avancé",IF(H29&gt;0,"🟠 En cours","⬜ À faire")))</f>
        <v/>
      </c>
    </row>
    <row r="30" ht="18" customHeight="1">
      <c r="A30" s="14" t="inlineStr">
        <is>
          <t>Configuration tenant</t>
        </is>
      </c>
      <c r="B30" s="11">
        <f>COUNTA('CFG'!A:A)-2</f>
        <v/>
      </c>
      <c r="C30" s="12">
        <f>COUNTIF('CFG'!I:I,"✅ Passé")</f>
        <v/>
      </c>
      <c r="D30" s="12">
        <f>COUNTIF('CFG'!I:I,"❌ Échoué")</f>
        <v/>
      </c>
      <c r="E30" s="12">
        <f>COUNTIF('CFG'!I:I,"⚠️ Bloqué")</f>
        <v/>
      </c>
      <c r="F30" s="12">
        <f>COUNTIF('CFG'!I:I,"▶️ En cours")</f>
        <v/>
      </c>
      <c r="G30" s="12">
        <f>B30-SUM(C30:F30)</f>
        <v/>
      </c>
      <c r="H30" s="13">
        <f>IF(B30=0,0,C30/B30)</f>
        <v/>
      </c>
      <c r="I30" s="12">
        <f>IF(H30=1,"🟢 Complet",IF(H30&gt;0.7,"🟡 Avancé",IF(H30&gt;0,"🟠 En cours","⬜ À faire")))</f>
        <v/>
      </c>
    </row>
    <row r="31" ht="18" customHeight="1">
      <c r="A31" s="10" t="inlineStr">
        <is>
          <t>Cabinet de recrutement</t>
        </is>
      </c>
      <c r="B31" s="11">
        <f>COUNTA('CAB'!A:A)-2</f>
        <v/>
      </c>
      <c r="C31" s="12">
        <f>COUNTIF('CAB'!I:I,"✅ Passé")</f>
        <v/>
      </c>
      <c r="D31" s="12">
        <f>COUNTIF('CAB'!I:I,"❌ Échoué")</f>
        <v/>
      </c>
      <c r="E31" s="12">
        <f>COUNTIF('CAB'!I:I,"⚠️ Bloqué")</f>
        <v/>
      </c>
      <c r="F31" s="12">
        <f>COUNTIF('CAB'!I:I,"▶️ En cours")</f>
        <v/>
      </c>
      <c r="G31" s="12">
        <f>B31-SUM(C31:F31)</f>
        <v/>
      </c>
      <c r="H31" s="13">
        <f>IF(B31=0,0,C31/B31)</f>
        <v/>
      </c>
      <c r="I31" s="12">
        <f>IF(H31=1,"🟢 Complet",IF(H31&gt;0.7,"🟡 Avancé",IF(H31&gt;0,"🟠 En cours","⬜ À faire")))</f>
        <v/>
      </c>
    </row>
    <row r="32" ht="18" customHeight="1">
      <c r="A32" s="14" t="inlineStr">
        <is>
          <t>End-to-End</t>
        </is>
      </c>
      <c r="B32" s="11">
        <f>COUNTA('E2E'!A:A)-2</f>
        <v/>
      </c>
      <c r="C32" s="12">
        <f>COUNTIF('E2E'!I:I,"✅ Passé")</f>
        <v/>
      </c>
      <c r="D32" s="12">
        <f>COUNTIF('E2E'!I:I,"❌ Échoué")</f>
        <v/>
      </c>
      <c r="E32" s="12">
        <f>COUNTIF('E2E'!I:I,"⚠️ Bloqué")</f>
        <v/>
      </c>
      <c r="F32" s="12">
        <f>COUNTIF('E2E'!I:I,"▶️ En cours")</f>
        <v/>
      </c>
      <c r="G32" s="12">
        <f>B32-SUM(C32:F32)</f>
        <v/>
      </c>
      <c r="H32" s="13">
        <f>IF(B32=0,0,C32/B32)</f>
        <v/>
      </c>
      <c r="I32" s="12">
        <f>IF(H32=1,"🟢 Complet",IF(H32&gt;0.7,"🟡 Avancé",IF(H32&gt;0,"🟠 En cours","⬜ À faire")))</f>
        <v/>
      </c>
    </row>
    <row r="33" ht="20" customHeight="1">
      <c r="A33" s="15" t="inlineStr">
        <is>
          <t>TOTAL GLOBAL</t>
        </is>
      </c>
      <c r="B33" s="16">
        <f>SUM(B7:B32)</f>
        <v/>
      </c>
      <c r="C33" s="16">
        <f>SUM(C7:C32)</f>
        <v/>
      </c>
      <c r="D33" s="16">
        <f>SUM(D7:D32)</f>
        <v/>
      </c>
      <c r="E33" s="16">
        <f>SUM(E7:E32)</f>
        <v/>
      </c>
      <c r="F33" s="16">
        <f>SUM(F7:F32)</f>
        <v/>
      </c>
      <c r="G33" s="16">
        <f>SUM(G7:G32)</f>
        <v/>
      </c>
      <c r="H33" s="17">
        <f>IF(B33=0,0,C33/B33)</f>
        <v/>
      </c>
    </row>
    <row r="34">
      <c r="A34" s="69" t="inlineStr">
        <is>
          <t>« ⬜ Non exécuté » = Total − (Passé + Échoué + Bloqué + En cours) : inclut les scénarios au statut vide.</t>
        </is>
      </c>
    </row>
    <row r="35"/>
    <row r="36" ht="22" customHeight="1">
      <c r="A36" s="3" t="inlineStr">
        <is>
          <t xml:space="preserve">  INDICATEURS CLÉS EN TEMPS RÉEL</t>
        </is>
      </c>
    </row>
    <row r="37" ht="50" customHeight="1">
      <c r="A37" s="18" t="inlineStr">
        <is>
          <t>Total scénarios</t>
        </is>
      </c>
      <c r="B37" s="19" t="inlineStr">
        <is>
          <t>✅ Passés</t>
        </is>
      </c>
      <c r="C37" s="20" t="inlineStr">
        <is>
          <t>❌ Échoués</t>
        </is>
      </c>
      <c r="D37" s="21" t="inlineStr">
        <is>
          <t>⚠️ Bloqués</t>
        </is>
      </c>
      <c r="E37" s="22" t="inlineStr">
        <is>
          <t>▶️ En cours</t>
        </is>
      </c>
      <c r="F37" s="23" t="inlineStr">
        <is>
          <t>⬜ Non exécutés</t>
        </is>
      </c>
      <c r="G37" s="19" t="inlineStr">
        <is>
          <t>% Réussite</t>
        </is>
      </c>
      <c r="H37" s="24" t="inlineStr">
        <is>
          <t>Couverture</t>
        </is>
      </c>
    </row>
    <row r="38" ht="40" customHeight="1">
      <c r="A38" s="25">
        <f>B33</f>
        <v/>
      </c>
      <c r="B38" s="26">
        <f>C33</f>
        <v/>
      </c>
      <c r="C38" s="27">
        <f>D33</f>
        <v/>
      </c>
      <c r="D38" s="28">
        <f>E33</f>
        <v/>
      </c>
      <c r="E38" s="29">
        <f>F33</f>
        <v/>
      </c>
      <c r="F38" s="30">
        <f>G33</f>
        <v/>
      </c>
      <c r="G38" s="31">
        <f>H33</f>
        <v/>
      </c>
      <c r="H38" s="32">
        <f>IF(B33=0,"0%",TEXT(1-G33/B33,"0%"))</f>
        <v/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mergeCells count="4">
    <mergeCell ref="C3:I3"/>
    <mergeCell ref="A5:I5"/>
    <mergeCell ref="A36:I36"/>
    <mergeCell ref="C1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30" customWidth="1" min="3" max="3"/>
  </cols>
  <sheetData>
    <row r="1" ht="26" customHeight="1">
      <c r="A1" s="33" t="inlineStr">
        <is>
          <t>MODE D'EMPLOI — NexusRH CI Cahier de Recettes</t>
        </is>
      </c>
    </row>
    <row r="3" ht="18" customHeight="1">
      <c r="A3" s="34" t="inlineStr">
        <is>
          <t xml:space="preserve">  STATUTS DE TEST</t>
        </is>
      </c>
    </row>
    <row r="4" ht="18" customHeight="1">
      <c r="A4" s="35" t="inlineStr">
        <is>
          <t>Statut</t>
        </is>
      </c>
      <c r="B4" s="35" t="inlineStr">
        <is>
          <t>Signification</t>
        </is>
      </c>
      <c r="C4" s="35" t="inlineStr">
        <is>
          <t>Couleur</t>
        </is>
      </c>
    </row>
    <row r="5" ht="18" customHeight="1">
      <c r="A5" s="36" t="inlineStr">
        <is>
          <t>✅ Passé</t>
        </is>
      </c>
      <c r="B5" s="36" t="inlineStr">
        <is>
          <t>Test exécuté et résultat conforme</t>
        </is>
      </c>
      <c r="C5" s="36" t="inlineStr">
        <is>
          <t>Vert</t>
        </is>
      </c>
    </row>
    <row r="6" ht="18" customHeight="1">
      <c r="A6" s="37" t="inlineStr">
        <is>
          <t>❌ Échoué</t>
        </is>
      </c>
      <c r="B6" s="37" t="inlineStr">
        <is>
          <t>Résultat non conforme — bug identifié</t>
        </is>
      </c>
      <c r="C6" s="37" t="inlineStr">
        <is>
          <t>Rouge</t>
        </is>
      </c>
    </row>
    <row r="7" ht="18" customHeight="1">
      <c r="A7" s="36" t="inlineStr">
        <is>
          <t>⚠️ Bloqué</t>
        </is>
      </c>
      <c r="B7" s="36" t="inlineStr">
        <is>
          <t>Test non exécutable (dépendance manquante)</t>
        </is>
      </c>
      <c r="C7" s="36" t="inlineStr">
        <is>
          <t>Jaune</t>
        </is>
      </c>
    </row>
    <row r="8" ht="18" customHeight="1">
      <c r="A8" s="37" t="inlineStr">
        <is>
          <t>▶️ En cours</t>
        </is>
      </c>
      <c r="B8" s="37" t="inlineStr">
        <is>
          <t>Test en cours d'exécution</t>
        </is>
      </c>
      <c r="C8" s="37" t="inlineStr">
        <is>
          <t>Bleu</t>
        </is>
      </c>
    </row>
    <row r="9" ht="18" customHeight="1">
      <c r="A9" s="36" t="inlineStr">
        <is>
          <t>⬜ Non exécuté</t>
        </is>
      </c>
      <c r="B9" s="36" t="inlineStr">
        <is>
          <t>Test planifié, pas encore démarré</t>
        </is>
      </c>
      <c r="C9" s="36" t="inlineStr">
        <is>
          <t>Gris</t>
        </is>
      </c>
    </row>
    <row r="11" ht="18" customHeight="1">
      <c r="A11" s="34" t="inlineStr">
        <is>
          <t xml:space="preserve">  PRIORITÉS</t>
        </is>
      </c>
    </row>
    <row r="12" ht="18" customHeight="1">
      <c r="A12" s="35" t="inlineStr">
        <is>
          <t>P1 — Critique</t>
        </is>
      </c>
      <c r="B12" s="35" t="inlineStr">
        <is>
          <t>Fonctionnalité bloquante, doit passer avant release</t>
        </is>
      </c>
      <c r="C12" s="35" t="inlineStr">
        <is>
          <t>Rouge foncé</t>
        </is>
      </c>
    </row>
    <row r="13" ht="18" customHeight="1">
      <c r="A13" s="36" t="inlineStr">
        <is>
          <t>P2 — Haute</t>
        </is>
      </c>
      <c r="B13" s="36" t="inlineStr">
        <is>
          <t>Fonctionnalité importante, impact élevé si KO</t>
        </is>
      </c>
      <c r="C13" s="36" t="inlineStr">
        <is>
          <t>Amber</t>
        </is>
      </c>
    </row>
    <row r="14" ht="18" customHeight="1">
      <c r="A14" s="37" t="inlineStr">
        <is>
          <t>P3 — Moyenne</t>
        </is>
      </c>
      <c r="B14" s="37" t="inlineStr">
        <is>
          <t>Fonctionnalité utile, contournement possible</t>
        </is>
      </c>
      <c r="C14" s="37" t="inlineStr">
        <is>
          <t>Bleu</t>
        </is>
      </c>
    </row>
    <row r="15" ht="18" customHeight="1">
      <c r="A15" s="36" t="inlineStr">
        <is>
          <t>P4 — Basse</t>
        </is>
      </c>
      <c r="B15" s="36" t="inlineStr">
        <is>
          <t>Amélioration ou cas limite</t>
        </is>
      </c>
      <c r="C15" s="36" t="inlineStr">
        <is>
          <t>Vert</t>
        </is>
      </c>
    </row>
    <row r="17" ht="18" customHeight="1">
      <c r="A17" s="34" t="inlineStr">
        <is>
          <t xml:space="preserve">  REQUALIFICATION EN TICKET</t>
        </is>
      </c>
    </row>
    <row r="18" ht="18" customHeight="1">
      <c r="A18" s="37" t="inlineStr">
        <is>
          <t>Colonne 'Ticket / Requalification'</t>
        </is>
      </c>
      <c r="B18" s="37" t="inlineStr">
        <is>
          <t>Saisir le numéro de ticket (ex: NRH-123)</t>
        </is>
      </c>
      <c r="C18" s="37" t="inlineStr"/>
    </row>
    <row r="19" ht="18" customHeight="1">
      <c r="A19" s="36" t="inlineStr">
        <is>
          <t>Commentaire / Amélioration</t>
        </is>
      </c>
      <c r="B19" s="36" t="inlineStr">
        <is>
          <t>Détailler le comportement observé et suggestion</t>
        </is>
      </c>
      <c r="C19" s="36" t="inlineStr"/>
    </row>
    <row r="21" ht="18" customHeight="1">
      <c r="A21" s="34" t="inlineStr">
        <is>
          <t xml:space="preserve">  WORKFLOW DE TEST</t>
        </is>
      </c>
    </row>
    <row r="22" ht="18" customHeight="1">
      <c r="A22" s="37" t="inlineStr">
        <is>
          <t>1. Sélectionner le module (onglet)</t>
        </is>
      </c>
      <c r="B22" s="37" t="inlineStr">
        <is>
          <t>Chaque onglet = un module fonctionnel</t>
        </is>
      </c>
      <c r="C22" s="37" t="inlineStr"/>
    </row>
    <row r="23" ht="18" customHeight="1">
      <c r="A23" s="36" t="inlineStr">
        <is>
          <t>2. Exécuter chaque scénario</t>
        </is>
      </c>
      <c r="B23" s="36" t="inlineStr">
        <is>
          <t>Suivre les étapes détaillées</t>
        </is>
      </c>
      <c r="C23" s="36" t="inlineStr"/>
    </row>
    <row r="24" ht="18" customHeight="1">
      <c r="A24" s="37" t="inlineStr">
        <is>
          <t>3. Mettre à jour le Statut (colonne I)</t>
        </is>
      </c>
      <c r="B24" s="37" t="inlineStr">
        <is>
          <t>Dropdown avec les 5 statuts</t>
        </is>
      </c>
      <c r="C24" s="37" t="inlineStr"/>
    </row>
    <row r="25" ht="18" customHeight="1">
      <c r="A25" s="36" t="inlineStr">
        <is>
          <t>4. Saisir Résultat obtenu (colonne H)</t>
        </is>
      </c>
      <c r="B25" s="36" t="inlineStr">
        <is>
          <t>Comportement réel observé</t>
        </is>
      </c>
      <c r="C25" s="36" t="inlineStr"/>
    </row>
    <row r="26" ht="18" customHeight="1">
      <c r="A26" s="37" t="inlineStr">
        <is>
          <t>5. Créer un ticket si Échoué/Bloqué</t>
        </is>
      </c>
      <c r="B26" s="37" t="inlineStr">
        <is>
          <t>Saisir référence dans colonne M</t>
        </is>
      </c>
      <c r="C26" s="37" t="inlineStr"/>
    </row>
    <row r="27" ht="18" customHeight="1">
      <c r="A27" s="36" t="inlineStr">
        <is>
          <t>6. Le DASHBOARD se met à jour automatiquement</t>
        </is>
      </c>
      <c r="B27" s="36" t="inlineStr">
        <is>
          <t>Formules COUNTIF dynamiques</t>
        </is>
      </c>
      <c r="C27" s="36" t="inlineStr"/>
    </row>
    <row r="29" ht="18" customHeight="1">
      <c r="A29" s="34" t="inlineStr">
        <is>
          <t xml:space="preserve">  COMPTES DE TEST</t>
        </is>
      </c>
    </row>
    <row r="30" ht="18" customHeight="1">
      <c r="A30" s="37" t="inlineStr">
        <is>
          <t>superadmin@nexusrh-ci.com / SuperAdmin1234!</t>
        </is>
      </c>
      <c r="B30" s="37" t="inlineStr">
        <is>
          <t>Super Admin Plateforme → /platform/dashboard</t>
        </is>
      </c>
      <c r="C30" s="37" t="inlineStr"/>
    </row>
    <row r="31" ht="18" customHeight="1">
      <c r="A31" s="36" t="inlineStr">
        <is>
          <t>admin@sotra.ci / Admin1234!</t>
        </is>
      </c>
      <c r="B31" s="36" t="inlineStr">
        <is>
          <t>Admin SOTRA → /dashboard (thème orange)</t>
        </is>
      </c>
      <c r="C31" s="36" t="inlineStr"/>
    </row>
    <row r="32" ht="18" customHeight="1">
      <c r="A32" s="37" t="inlineStr">
        <is>
          <t>rh@sotra.ci / Admin1234!</t>
        </is>
      </c>
      <c r="B32" s="37" t="inlineStr">
        <is>
          <t>RH Manager SOTRA → /dashboard</t>
        </is>
      </c>
      <c r="C32" s="37" t="inlineStr"/>
    </row>
    <row r="33" ht="18" customHeight="1">
      <c r="A33" s="36" t="inlineStr">
        <is>
          <t>manager@sotra.ci / Admin1234!</t>
        </is>
      </c>
      <c r="B33" s="36" t="inlineStr">
        <is>
          <t>Manager SOTRA → /dashboard équipe</t>
        </is>
      </c>
      <c r="C33" s="36" t="inlineStr"/>
    </row>
    <row r="34" ht="18" customHeight="1">
      <c r="A34" s="37" t="inlineStr">
        <is>
          <t>employe@sotra.ci / Admin1234!</t>
        </is>
      </c>
      <c r="B34" s="37" t="inlineStr">
        <is>
          <t>Employé SOTRA → /mon-espace</t>
        </is>
      </c>
      <c r="C34" s="37" t="inlineStr"/>
    </row>
    <row r="35" ht="18" customHeight="1">
      <c r="A35" s="36" t="inlineStr">
        <is>
          <t>admin@cabinet-expertise.ci / Admin1234!</t>
        </is>
      </c>
      <c r="B35" s="36" t="inlineStr">
        <is>
          <t>Admin Cabinet Expertise CI → /dashboard</t>
        </is>
      </c>
      <c r="C35" s="36" t="inlineStr"/>
    </row>
    <row r="36" ht="18" customHeight="1">
      <c r="A36" s="37" t="inlineStr">
        <is>
          <t>employe2@cabinet-expertise.ci / Admin1234!</t>
        </is>
      </c>
      <c r="B36" s="37" t="inlineStr">
        <is>
          <t>Employé Cabinet → /mon-espace</t>
        </is>
      </c>
      <c r="C36" s="37" t="inlineStr"/>
    </row>
    <row r="37" ht="18" customHeight="1">
      <c r="A37" s="36" t="inlineStr">
        <is>
          <t>coulwao@gmail.com / Openlab2025!</t>
        </is>
      </c>
      <c r="B37" s="36" t="inlineStr">
        <is>
          <t>Admin OpenLab Consulting → /dashboard</t>
        </is>
      </c>
      <c r="C37" s="36" t="inlineStr"/>
    </row>
    <row r="39" ht="18" customHeight="1">
      <c r="A39" s="34" t="inlineStr">
        <is>
          <t xml:space="preserve">  URL PRODUCTION</t>
        </is>
      </c>
    </row>
    <row r="40" ht="18" customHeight="1">
      <c r="A40" s="37" t="inlineStr">
        <is>
          <t>https://nexusrh.openlabconsulting.com</t>
        </is>
      </c>
      <c r="B40" s="37" t="inlineStr">
        <is>
          <t>Application web NexusRH CI</t>
        </is>
      </c>
      <c r="C40" s="37" t="inlineStr"/>
    </row>
    <row r="41" ht="18" customHeight="1">
      <c r="A41" s="36" t="inlineStr">
        <is>
          <t>https://nexusrh.openlabconsulting.com/api/docs</t>
        </is>
      </c>
      <c r="B41" s="36" t="inlineStr">
        <is>
          <t>Swagger API (debug)</t>
        </is>
      </c>
      <c r="C41" s="36" t="inlineStr"/>
    </row>
    <row r="43" ht="18" customHeight="1">
      <c r="A43" s="70" t="inlineStr">
        <is>
          <t xml:space="preserve">  COMPTES DE TEST COMPLÉMENTAIRES (SOTRA)</t>
        </is>
      </c>
      <c r="B43" s="70" t="n"/>
      <c r="C43" s="70" t="n"/>
    </row>
    <row r="44" ht="18" customHeight="1">
      <c r="A44" s="71" t="inlineStr">
        <is>
          <t>chef.perso@sotra.ci</t>
        </is>
      </c>
      <c r="B44" s="72" t="inlineStr">
        <is>
          <t>Chargé RH (hr_officer) « Chef Personnel » — mot de passe démo identique à rh@sotra.ci</t>
        </is>
      </c>
      <c r="C44" s="72" t="n"/>
    </row>
    <row r="45" ht="18" customHeight="1">
      <c r="A45" s="73" t="inlineStr">
        <is>
          <t>dg@sotra.ci</t>
        </is>
      </c>
      <c r="B45" s="74" t="inlineStr">
        <is>
          <t>Directeur Général (rôle dg, Vue 360° — module dg_view à activer)</t>
        </is>
      </c>
      <c r="C45" s="74" t="n"/>
    </row>
    <row r="46" ht="18" customHeight="1">
      <c r="A46" s="71" t="inlineStr">
        <is>
          <t>Compte raf_site / readonly</t>
        </is>
      </c>
      <c r="B46" s="72" t="inlineStr">
        <is>
          <t>À créer dans Paramètres → Utilisateurs si nécessaire (scénarios RBA / PAY multi-filiales)</t>
        </is>
      </c>
      <c r="C46" s="72" t="n"/>
    </row>
    <row r="48" ht="18" customHeight="1">
      <c r="A48" s="70" t="inlineStr">
        <is>
          <t xml:space="preserve">  CAMPAGNE 10/2026 — NOUVEAUX ONGLETS</t>
        </is>
      </c>
      <c r="B48" s="70" t="n"/>
      <c r="C48" s="70" t="n"/>
    </row>
    <row r="49" ht="18" customHeight="1">
      <c r="A49" s="73" t="inlineStr">
        <is>
          <t>WF</t>
        </is>
      </c>
      <c r="B49" s="74" t="inlineStr">
        <is>
          <t>Workflows &amp; validations</t>
        </is>
      </c>
      <c r="C49" s="74" t="n"/>
    </row>
    <row r="50" ht="18" customHeight="1">
      <c r="A50" s="71" t="inlineStr">
        <is>
          <t>TPS</t>
        </is>
      </c>
      <c r="B50" s="72" t="inlineStr">
        <is>
          <t>Temps &amp; pointage (badgeuse)</t>
        </is>
      </c>
      <c r="C50" s="72" t="n"/>
    </row>
    <row r="51" ht="18" customHeight="1">
      <c r="A51" s="73" t="inlineStr">
        <is>
          <t>TAL</t>
        </is>
      </c>
      <c r="B51" s="74" t="inlineStr">
        <is>
          <t>Talents &amp; organisation</t>
        </is>
      </c>
      <c r="C51" s="74" t="n"/>
    </row>
    <row r="52" ht="18" customHeight="1">
      <c r="A52" s="71" t="inlineStr">
        <is>
          <t>OFF</t>
        </is>
      </c>
      <c r="B52" s="72" t="inlineStr">
        <is>
          <t>Intégration (onboarding) &amp; sorties (offboarding)</t>
        </is>
      </c>
      <c r="C52" s="72" t="n"/>
    </row>
    <row r="53" ht="18" customHeight="1">
      <c r="A53" s="73" t="inlineStr">
        <is>
          <t>INT</t>
        </is>
      </c>
      <c r="B53" s="74" t="inlineStr">
        <is>
          <t>Intégrations, signature &amp; sécurité</t>
        </is>
      </c>
      <c r="C53" s="74" t="n"/>
    </row>
    <row r="54" ht="18" customHeight="1">
      <c r="A54" s="71" t="inlineStr">
        <is>
          <t>CFG</t>
        </is>
      </c>
      <c r="B54" s="72" t="inlineStr">
        <is>
          <t>Configuration tenant (modules, pays, champs, langue)</t>
        </is>
      </c>
      <c r="C54" s="72" t="n"/>
    </row>
    <row r="55" ht="18" customHeight="1">
      <c r="A55" s="73" t="inlineStr">
        <is>
          <t>CAB</t>
        </is>
      </c>
      <c r="B55" s="74" t="inlineStr">
        <is>
          <t>Cabinet de recrutement (agency)</t>
        </is>
      </c>
      <c r="C55" s="74" t="n"/>
    </row>
    <row r="56" ht="18" customHeight="1">
      <c r="A56" s="71" t="inlineStr">
        <is>
          <t>Nouveaux scénarios</t>
        </is>
      </c>
      <c r="B56" s="72" t="inlineStr">
        <is>
          <t>Ajoutés en fin de chaque onglet existant, Sprint « Recette 10/2026 », statut vide = non exécuté</t>
        </is>
      </c>
      <c r="C56" s="72" t="n"/>
    </row>
    <row r="57" ht="18" customHeight="1">
      <c r="A57" s="73" t="inlineStr">
        <is>
          <t>PAY-007 à PAY-015</t>
        </is>
      </c>
      <c r="B57" s="74" t="inlineStr">
        <is>
          <t>Ancien barème ITS (abattement 15 %, crédits d'impôt) — remplacé par la réforme ITS 2024 : voir les scénarios [ITS 2024] de PAY</t>
        </is>
      </c>
      <c r="C57" s="74" t="n"/>
    </row>
  </sheetData>
  <mergeCells count="7">
    <mergeCell ref="A11:C11"/>
    <mergeCell ref="A1:C1"/>
    <mergeCell ref="A17:C17"/>
    <mergeCell ref="A3:C3"/>
    <mergeCell ref="A21:C21"/>
    <mergeCell ref="A39:C39"/>
    <mergeCell ref="A29:C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38" customWidth="1" min="3" max="3"/>
    <col width="32" customWidth="1" min="4" max="4"/>
    <col width="30" customWidth="1" min="5" max="5"/>
    <col width="40" customWidth="1" min="6" max="6"/>
    <col width="38" customWidth="1" min="7" max="7"/>
    <col width="38" customWidth="1" min="8" max="8"/>
    <col width="18" customWidth="1" min="9" max="9"/>
    <col width="16" customWidth="1" min="10" max="10"/>
    <col width="13" customWidth="1" min="11" max="11"/>
    <col width="12" customWidth="1" min="12" max="12"/>
    <col width="24" customWidth="1" min="13" max="13"/>
    <col width="36" customWidth="1" min="14" max="14"/>
    <col width="10" customWidth="1" min="15" max="15"/>
    <col width="12" customWidth="1" min="16" max="16"/>
  </cols>
  <sheetData>
    <row r="1" ht="26" customHeight="1">
      <c r="A1" s="38" t="inlineStr">
        <is>
          <t xml:space="preserve">  AUTHENTIFICATION &amp; SÉCURITÉ  ·  29 scénarios</t>
        </is>
      </c>
    </row>
    <row r="2" ht="22" customHeight="1">
      <c r="A2" s="39" t="inlineStr">
        <is>
          <t>ID Test</t>
        </is>
      </c>
      <c r="B2" s="39" t="inlineStr">
        <is>
          <t>Priorité</t>
        </is>
      </c>
      <c r="C2" s="39" t="inlineStr">
        <is>
          <t>Titre du scénario</t>
        </is>
      </c>
      <c r="D2" s="39" t="inlineStr">
        <is>
          <t>Description / Contexte</t>
        </is>
      </c>
      <c r="E2" s="39" t="inlineStr">
        <is>
          <t>Prérequis / Données</t>
        </is>
      </c>
      <c r="F2" s="39" t="inlineStr">
        <is>
          <t>Étapes détaillées</t>
        </is>
      </c>
      <c r="G2" s="39" t="inlineStr">
        <is>
          <t>Résultat attendu</t>
        </is>
      </c>
      <c r="H2" s="39" t="inlineStr">
        <is>
          <t>Résultat obtenu</t>
        </is>
      </c>
      <c r="I2" s="39" t="inlineStr">
        <is>
          <t>Statut</t>
        </is>
      </c>
      <c r="J2" s="39" t="inlineStr">
        <is>
          <t>Testeur</t>
        </is>
      </c>
      <c r="K2" s="39" t="inlineStr">
        <is>
          <t>Date test</t>
        </is>
      </c>
      <c r="L2" s="39" t="inlineStr">
        <is>
          <t>Durée (min)</t>
        </is>
      </c>
      <c r="M2" s="39" t="inlineStr">
        <is>
          <t>Ticket / Requalification</t>
        </is>
      </c>
      <c r="N2" s="39" t="inlineStr">
        <is>
          <t>Commentaire / Amélioration</t>
        </is>
      </c>
      <c r="O2" s="39" t="inlineStr">
        <is>
          <t>Sprint</t>
        </is>
      </c>
      <c r="P2" s="39" t="inlineStr">
        <is>
          <t>Env.</t>
        </is>
      </c>
    </row>
    <row r="3" ht="58" customHeight="1">
      <c r="A3" s="4" t="inlineStr">
        <is>
          <t>AUTH-001</t>
        </is>
      </c>
      <c r="B3" s="40" t="inlineStr">
        <is>
          <t>P1 — Critique</t>
        </is>
      </c>
      <c r="C3" s="41" t="inlineStr">
        <is>
          <t>Login super_admin valide</t>
        </is>
      </c>
      <c r="D3" s="41" t="inlineStr">
        <is>
          <t>Connexion avec superadmin@nexusrh-ci.com / SuperAdmin1234!</t>
        </is>
      </c>
      <c r="E3" s="41" t="inlineStr">
        <is>
          <t>API déployée, DB seedée</t>
        </is>
      </c>
      <c r="F3" s="41" t="inlineStr">
        <is>
          <t>1. Ouvrir nexusrh.openlabconsulting.com
2. Saisir email + mdp
3. Cliquer Connexion</t>
        </is>
      </c>
      <c r="G3" s="41" t="inlineStr">
        <is>
          <t>Token JWT reçu, redirection vers /platform/dashboard, sidebar plateforme affichée</t>
        </is>
      </c>
      <c r="H3" s="41" t="inlineStr">
        <is>
          <t>HTTP 200, JWT role=super_admin / schema=platform, redirectTo=/platform/dashboard ; sidebar plateforme (PlatformLayout sous PlatformGuard). Verifie en live prod.</t>
        </is>
      </c>
      <c r="I3" s="42" t="inlineStr">
        <is>
          <t>✅ Passé</t>
        </is>
      </c>
      <c r="J3" s="41" t="inlineStr">
        <is>
          <t>Agents IA (live prod + code)</t>
        </is>
      </c>
      <c r="K3" s="41" t="inlineStr">
        <is>
          <t>23/06/2026</t>
        </is>
      </c>
      <c r="L3" s="41" t="inlineStr"/>
      <c r="M3" s="41" t="inlineStr"/>
      <c r="N3" s="41" t="inlineStr"/>
      <c r="O3" s="41" t="inlineStr">
        <is>
          <t>Sprint 1</t>
        </is>
      </c>
      <c r="P3" s="41" t="inlineStr">
        <is>
          <t>Production</t>
        </is>
      </c>
    </row>
    <row r="4" ht="58" customHeight="1">
      <c r="A4" s="4" t="inlineStr">
        <is>
          <t>AUTH-002</t>
        </is>
      </c>
      <c r="B4" s="40" t="inlineStr">
        <is>
          <t>P1 — Critique</t>
        </is>
      </c>
      <c r="C4" s="43" t="inlineStr">
        <is>
          <t>Login admin tenant valide</t>
        </is>
      </c>
      <c r="D4" s="43" t="inlineStr">
        <is>
          <t>Connexion admin@sotra.ci / Admin1234!</t>
        </is>
      </c>
      <c r="E4" s="43" t="inlineStr">
        <is>
          <t>Tenant SOTRA seedé</t>
        </is>
      </c>
      <c r="F4" s="43" t="inlineStr">
        <is>
          <t>1. Saisir admin@sotra.ci
2. Saisir Admin1234!
3. Cliquer Connexion</t>
        </is>
      </c>
      <c r="G4" s="43" t="inlineStr">
        <is>
          <t>Redirection /dashboard, thème orange SOTRA appliqué, sidebar RH complète</t>
        </is>
      </c>
      <c r="H4" s="41" t="inlineStr">
        <is>
          <t>HTTP 200, JWT role=admin / schema=tenant_sotra ; tenantConfig orange primaryColor #E85D04 applique au login (authStore), redirect /dashboard + sidebar RH complete. NB: changement de mot de passe force au 1er login (post-reset demo).</t>
        </is>
      </c>
      <c r="I4" s="42" t="inlineStr">
        <is>
          <t>✅ Passé</t>
        </is>
      </c>
      <c r="J4" s="41" t="inlineStr">
        <is>
          <t>Agents IA (live prod + code)</t>
        </is>
      </c>
      <c r="K4" s="41" t="inlineStr">
        <is>
          <t>23/06/2026</t>
        </is>
      </c>
      <c r="L4" s="43" t="inlineStr"/>
      <c r="M4" s="43" t="inlineStr"/>
      <c r="N4" s="43" t="inlineStr"/>
      <c r="O4" s="43" t="inlineStr">
        <is>
          <t>Sprint 1</t>
        </is>
      </c>
      <c r="P4" s="43" t="inlineStr">
        <is>
          <t>Production</t>
        </is>
      </c>
    </row>
    <row r="5" ht="58" customHeight="1">
      <c r="A5" s="4" t="inlineStr">
        <is>
          <t>AUTH-003</t>
        </is>
      </c>
      <c r="B5" s="40" t="inlineStr">
        <is>
          <t>P1 — Critique</t>
        </is>
      </c>
      <c r="C5" s="41" t="inlineStr">
        <is>
          <t>Login mot de passe incorrect → message d'erreur visible</t>
        </is>
      </c>
      <c r="D5" s="41" t="inlineStr">
        <is>
          <t>Vérifier que le message 401 remonte au formulaire (plus de rechargement silencieux)</t>
        </is>
      </c>
      <c r="E5" s="41" t="inlineStr">
        <is>
          <t>Correctif intercepteur 401 déployé</t>
        </is>
      </c>
      <c r="F5" s="41" t="inlineStr">
        <is>
          <t>1. Saisir un email valide
2. Saisir un mauvais mot de passe
3. Soumettre</t>
        </is>
      </c>
      <c r="G5" s="41" t="inlineStr">
        <is>
          <t>Message 'Email ou mot de passe incorrect' affiché dans le formulaire, pas de rechargement de page</t>
        </is>
      </c>
      <c r="H5" s="41" t="inlineStr">
        <is>
          <t>401 'Email ou mot de passe incorrect' ; intercepteur axios exclut /auth/* donc message affiche dans le formulaire sans rechargement (message UI generique anti-enumeration OWASP A07).</t>
        </is>
      </c>
      <c r="I5" s="42" t="inlineStr">
        <is>
          <t>✅ Passé</t>
        </is>
      </c>
      <c r="J5" s="41" t="inlineStr">
        <is>
          <t>Agents IA (live prod + code)</t>
        </is>
      </c>
      <c r="K5" s="41" t="inlineStr">
        <is>
          <t>23/06/2026</t>
        </is>
      </c>
      <c r="L5" s="41" t="inlineStr"/>
      <c r="M5" s="41" t="inlineStr"/>
      <c r="N5" s="41" t="inlineStr"/>
      <c r="O5" s="41" t="inlineStr">
        <is>
          <t>Sprint 1</t>
        </is>
      </c>
      <c r="P5" s="41" t="inlineStr">
        <is>
          <t>Production</t>
        </is>
      </c>
    </row>
    <row r="6" ht="58" customHeight="1">
      <c r="A6" s="4" t="inlineStr">
        <is>
          <t>AUTH-004</t>
        </is>
      </c>
      <c r="B6" s="44" t="inlineStr">
        <is>
          <t>P2 — Haute</t>
        </is>
      </c>
      <c r="C6" s="43" t="inlineStr">
        <is>
          <t>Login email inexistant</t>
        </is>
      </c>
      <c r="D6" s="43" t="inlineStr">
        <is>
          <t>Email qui n'existe dans aucun tenant</t>
        </is>
      </c>
      <c r="E6" s="43" t="inlineStr"/>
      <c r="F6" s="43" t="inlineStr">
        <is>
          <t>1. Saisir email@inconnu.com
2. Mdp quelconque
3. Soumettre</t>
        </is>
      </c>
      <c r="G6" s="43" t="inlineStr">
        <is>
          <t>Message d'erreur 401 affiché sans plantage</t>
        </is>
      </c>
      <c r="H6" s="41" t="inlineStr">
        <is>
          <t>Email inexistant donne 401 message generique identique au mauvais mot de passe (anti-enumeration ; bcrypt dummy temps constant) ; corps malforme donne 400 propre, aucun 500.</t>
        </is>
      </c>
      <c r="I6" s="42" t="inlineStr">
        <is>
          <t>✅ Passé</t>
        </is>
      </c>
      <c r="J6" s="41" t="inlineStr">
        <is>
          <t>Agents IA (live prod + code)</t>
        </is>
      </c>
      <c r="K6" s="41" t="inlineStr">
        <is>
          <t>23/06/2026</t>
        </is>
      </c>
      <c r="L6" s="43" t="inlineStr"/>
      <c r="M6" s="43" t="inlineStr"/>
      <c r="N6" s="43" t="inlineStr"/>
      <c r="O6" s="43" t="inlineStr">
        <is>
          <t>Sprint 1</t>
        </is>
      </c>
      <c r="P6" s="43" t="inlineStr">
        <is>
          <t>Production</t>
        </is>
      </c>
    </row>
    <row r="7" ht="58" customHeight="1">
      <c r="A7" s="4" t="inlineStr">
        <is>
          <t>AUTH-005</t>
        </is>
      </c>
      <c r="B7" s="40" t="inlineStr">
        <is>
          <t>P1 — Critique</t>
        </is>
      </c>
      <c r="C7" s="41" t="inlineStr">
        <is>
          <t>Redirection rôle employee → /mon-espace</t>
        </is>
      </c>
      <c r="D7" s="41" t="inlineStr">
        <is>
          <t>employe@sotra.ci doit atterrir sur son espace</t>
        </is>
      </c>
      <c r="E7" s="41" t="inlineStr">
        <is>
          <t>Seed SOTRA OK</t>
        </is>
      </c>
      <c r="F7" s="41" t="inlineStr">
        <is>
          <t>1. Connecter employe@sotra.ci
2. Observar la redirection</t>
        </is>
      </c>
      <c r="G7" s="41" t="inlineStr">
        <is>
          <t>Redirection automatique vers /mon-espace, sidebar réduite (5 items seulement)</t>
        </is>
      </c>
      <c r="H7" s="41" t="inlineStr">
        <is>
          <t>HTTP 200, JWT role=employee / schema=tenant_sotra ; redirect /mon-espace + sidebar self-service reduite dediee (10 items, tous /mon-espace) ; RoleGuard bloque /employees, /payroll, /reporting.</t>
        </is>
      </c>
      <c r="I7" s="42" t="inlineStr">
        <is>
          <t>✅ Passé</t>
        </is>
      </c>
      <c r="J7" s="41" t="inlineStr">
        <is>
          <t>Agents IA (live prod + code)</t>
        </is>
      </c>
      <c r="K7" s="41" t="inlineStr">
        <is>
          <t>23/06/2026</t>
        </is>
      </c>
      <c r="L7" s="41" t="inlineStr"/>
      <c r="M7" s="41" t="inlineStr"/>
      <c r="N7" s="41" t="inlineStr"/>
      <c r="O7" s="41" t="inlineStr">
        <is>
          <t>Sprint 1</t>
        </is>
      </c>
      <c r="P7" s="41" t="inlineStr">
        <is>
          <t>Production</t>
        </is>
      </c>
    </row>
    <row r="8" ht="58" customHeight="1">
      <c r="A8" s="4" t="inlineStr">
        <is>
          <t>AUTH-006</t>
        </is>
      </c>
      <c r="B8" s="40" t="inlineStr">
        <is>
          <t>P1 — Critique</t>
        </is>
      </c>
      <c r="C8" s="43" t="inlineStr">
        <is>
          <t>Redirection rôle manager → /dashboard</t>
        </is>
      </c>
      <c r="D8" s="43" t="inlineStr">
        <is>
          <t>manager@sotra.ci → /dashboard version manager</t>
        </is>
      </c>
      <c r="E8" s="43" t="inlineStr"/>
      <c r="F8" s="43" t="inlineStr">
        <is>
          <t>1. Connecter manager@sotra.ci
2. Observer dashboard</t>
        </is>
      </c>
      <c r="G8" s="43" t="inlineStr">
        <is>
          <t>Dashboard manager affiché (équipe, demandes à valider), pas les KPIs admin</t>
        </is>
      </c>
      <c r="H8" s="41" t="inlineStr">
        <is>
          <t>HTTP 200, JWT role=manager/tenant_sotra ; redirect /dashboard qui rend la variante ManagerDashboard (mon equipe + demandes a valider), sans KPIs admin (requete /payroll desactivee).</t>
        </is>
      </c>
      <c r="I8" s="42" t="inlineStr">
        <is>
          <t>✅ Passé</t>
        </is>
      </c>
      <c r="J8" s="41" t="inlineStr">
        <is>
          <t>Agents IA (live prod + code)</t>
        </is>
      </c>
      <c r="K8" s="41" t="inlineStr">
        <is>
          <t>23/06/2026</t>
        </is>
      </c>
      <c r="L8" s="43" t="inlineStr"/>
      <c r="M8" s="43" t="inlineStr"/>
      <c r="N8" s="43" t="inlineStr"/>
      <c r="O8" s="43" t="inlineStr">
        <is>
          <t>Sprint 1</t>
        </is>
      </c>
      <c r="P8" s="43" t="inlineStr">
        <is>
          <t>Production</t>
        </is>
      </c>
    </row>
    <row r="9" ht="58" customHeight="1">
      <c r="A9" s="4" t="inlineStr">
        <is>
          <t>AUTH-007</t>
        </is>
      </c>
      <c r="B9" s="40" t="inlineStr">
        <is>
          <t>P1 — Critique</t>
        </is>
      </c>
      <c r="C9" s="41" t="inlineStr">
        <is>
          <t>Redirection super_admin → /platform/dashboard</t>
        </is>
      </c>
      <c r="D9" s="41" t="inlineStr">
        <is>
          <t>Aucun accès aux données RH</t>
        </is>
      </c>
      <c r="E9" s="41" t="inlineStr"/>
      <c r="F9" s="41" t="inlineStr">
        <is>
          <t>1. Connecter superadmin@nexusrh-ci.com
2. Tenter /dashboard</t>
        </is>
      </c>
      <c r="G9" s="41" t="inlineStr">
        <is>
          <t>Redirigé vers /platform/dashboard, sidebar plateforme uniquement</t>
        </is>
      </c>
      <c r="H9" s="41" t="inlineStr">
        <is>
          <t>CORRIGE: la route /dashboard n'avait aucune garde -&gt; super_admin pouvait y acceder (coquille vide, aucune fuite car API 403). Ajout RhDashboardGuard (super_admin -&gt; /platform/dashboard, employee -&gt; /mon-espace). Verifie code + typecheck.</t>
        </is>
      </c>
      <c r="I9" s="42" t="inlineStr">
        <is>
          <t>✅ Passé</t>
        </is>
      </c>
      <c r="J9" s="41" t="inlineStr">
        <is>
          <t>Agents IA + correctif</t>
        </is>
      </c>
      <c r="K9" s="41" t="inlineStr">
        <is>
          <t>23/06/2026</t>
        </is>
      </c>
      <c r="L9" s="41" t="inlineStr"/>
      <c r="M9" s="41" t="inlineStr"/>
      <c r="N9" s="41" t="inlineStr"/>
      <c r="O9" s="41" t="inlineStr">
        <is>
          <t>Sprint 1</t>
        </is>
      </c>
      <c r="P9" s="41" t="inlineStr">
        <is>
          <t>Production</t>
        </is>
      </c>
    </row>
    <row r="10" ht="58" customHeight="1">
      <c r="A10" s="4" t="inlineStr">
        <is>
          <t>AUTH-008</t>
        </is>
      </c>
      <c r="B10" s="44" t="inlineStr">
        <is>
          <t>P2 — Haute</t>
        </is>
      </c>
      <c r="C10" s="43" t="inlineStr">
        <is>
          <t>Refresh automatique token JWT expiré</t>
        </is>
      </c>
      <c r="D10" s="43" t="inlineStr">
        <is>
          <t>Le refresh token permet de renouveler le JWT sans déconnexion</t>
        </is>
      </c>
      <c r="E10" s="43" t="inlineStr">
        <is>
          <t>Token expiré simulé</t>
        </is>
      </c>
      <c r="F10" s="43" t="inlineStr">
        <is>
          <t>1. Connecter
2. Attendre expiration JWT ou modifier exp dans DevTools
3. Effectuer une requête API</t>
        </is>
      </c>
      <c r="G10" s="43" t="inlineStr">
        <is>
          <t>Token rafraîchi silencieusement, requête relancée, utilisateur non déconnecté</t>
        </is>
      </c>
      <c r="H10" s="41" t="inlineStr">
        <is>
          <t>CORRIGE + CONFIRME LIVE: flux refresh token rotatif (login -&gt; refreshToken 64 hex ; POST /auth/refresh-token -&gt; nouveau JWT valide + nouveau refreshToken, ancien revoque=401). REGRESSION detectee a AUTH-015 et corrigee: ne plus emettre de refresh token si pwdResetRequired/mfaPending (sinon contournement du garde) + re-verif expiration au refresh.</t>
        </is>
      </c>
      <c r="I10" s="42" t="inlineStr">
        <is>
          <t>✅ Passé</t>
        </is>
      </c>
      <c r="J10" s="41" t="inlineStr">
        <is>
          <t>Agents IA + correctif</t>
        </is>
      </c>
      <c r="K10" s="41" t="inlineStr">
        <is>
          <t>23/06/2026</t>
        </is>
      </c>
      <c r="L10" s="43" t="inlineStr"/>
      <c r="M10" s="43" t="inlineStr"/>
      <c r="N10" s="43" t="inlineStr"/>
      <c r="O10" s="43" t="inlineStr">
        <is>
          <t>Sprint 1</t>
        </is>
      </c>
      <c r="P10" s="43" t="inlineStr">
        <is>
          <t>Production</t>
        </is>
      </c>
    </row>
    <row r="11" ht="58" customHeight="1">
      <c r="A11" s="4" t="inlineStr">
        <is>
          <t>AUTH-009</t>
        </is>
      </c>
      <c r="B11" s="44" t="inlineStr">
        <is>
          <t>P2 — Haute</t>
        </is>
      </c>
      <c r="C11" s="41" t="inlineStr">
        <is>
          <t>Déconnexion propre</t>
        </is>
      </c>
      <c r="D11" s="41" t="inlineStr">
        <is>
          <t>Store Zustand vidé, redirection /login</t>
        </is>
      </c>
      <c r="E11" s="41" t="inlineStr">
        <is>
          <t>Session active</t>
        </is>
      </c>
      <c r="F11" s="41" t="inlineStr">
        <is>
          <t>1. Cliquer sur Déconnexion
2. Vérifier localStorage/sessionStorage</t>
        </is>
      </c>
      <c r="G11" s="41" t="inlineStr">
        <is>
          <t>Token supprimé, store authStore vidé, redirection /login, route protégée inaccessible</t>
        </is>
      </c>
      <c r="H11" s="41" t="inlineStr">
        <is>
          <t>Deconnexion vide entierement authStore (token/user/tenantConfig/refreshToken), supprime la cle localStorage nexusrhci-auth, purge le cache React Query, guards reactifs -&gt; /login.</t>
        </is>
      </c>
      <c r="I11" s="42" t="inlineStr">
        <is>
          <t>✅ Passé</t>
        </is>
      </c>
      <c r="J11" s="41" t="inlineStr">
        <is>
          <t>Agents IA (live prod + code)</t>
        </is>
      </c>
      <c r="K11" s="41" t="inlineStr">
        <is>
          <t>23/06/2026</t>
        </is>
      </c>
      <c r="L11" s="41" t="inlineStr"/>
      <c r="M11" s="41" t="inlineStr"/>
      <c r="N11" s="41" t="inlineStr"/>
      <c r="O11" s="41" t="inlineStr">
        <is>
          <t>Sprint 1</t>
        </is>
      </c>
      <c r="P11" s="41" t="inlineStr">
        <is>
          <t>Production</t>
        </is>
      </c>
    </row>
    <row r="12" ht="58" customHeight="1">
      <c r="A12" s="4" t="inlineStr">
        <is>
          <t>AUTH-010</t>
        </is>
      </c>
      <c r="B12" s="40" t="inlineStr">
        <is>
          <t>P1 — Critique</t>
        </is>
      </c>
      <c r="C12" s="43" t="inlineStr">
        <is>
          <t>Route protégée sans token → /login</t>
        </is>
      </c>
      <c r="D12" s="43" t="inlineStr">
        <is>
          <t>Un utilisateur non connecté tente d'accéder /dashboard</t>
        </is>
      </c>
      <c r="E12" s="43" t="inlineStr"/>
      <c r="F12" s="43" t="inlineStr">
        <is>
          <t>1. Sans session, accéder directement à /dashboard</t>
        </is>
      </c>
      <c r="G12" s="43" t="inlineStr">
        <is>
          <t>Redirection automatique vers /login</t>
        </is>
      </c>
      <c r="H12" s="41" t="inlineStr">
        <is>
          <t>Sans token, AuthGuard redirige /dashboard (et toute route protegee) vers /login via Navigate replace ; aucune route protegee accessible sans session ; pas de page blanche.</t>
        </is>
      </c>
      <c r="I12" s="42" t="inlineStr">
        <is>
          <t>✅ Passé</t>
        </is>
      </c>
      <c r="J12" s="41" t="inlineStr">
        <is>
          <t>Agents IA (live prod + code)</t>
        </is>
      </c>
      <c r="K12" s="41" t="inlineStr">
        <is>
          <t>23/06/2026</t>
        </is>
      </c>
      <c r="L12" s="43" t="inlineStr"/>
      <c r="M12" s="43" t="inlineStr"/>
      <c r="N12" s="43" t="inlineStr"/>
      <c r="O12" s="43" t="inlineStr">
        <is>
          <t>Sprint 1</t>
        </is>
      </c>
      <c r="P12" s="43" t="inlineStr">
        <is>
          <t>Production</t>
        </is>
      </c>
    </row>
    <row r="13" ht="58" customHeight="1">
      <c r="A13" s="4" t="inlineStr">
        <is>
          <t>AUTH-011</t>
        </is>
      </c>
      <c r="B13" s="44" t="inlineStr">
        <is>
          <t>P2 — Haute</t>
        </is>
      </c>
      <c r="C13" s="41" t="inlineStr">
        <is>
          <t>must_change_password = false après seed</t>
        </is>
      </c>
      <c r="D13" s="41" t="inlineStr">
        <is>
          <t>Les comptes seedés n'exigent pas de changement de mdp</t>
        </is>
      </c>
      <c r="E13" s="41" t="inlineStr">
        <is>
          <t>Seed v2 avec last_login_at déployé</t>
        </is>
      </c>
      <c r="F13" s="41" t="inlineStr">
        <is>
          <t>1. Connecter n'importe quel compte seedé</t>
        </is>
      </c>
      <c r="G13" s="41" t="inlineStr">
        <is>
          <t>Connexion directe au dashboard, pas de popup changement de mot de passe</t>
        </is>
      </c>
      <c r="H13" s="41" t="inlineStr">
        <is>
          <t>COMPORTEMENT ATTENDU (decision recette): le controle HIBP force le changement quand le mdp est compromis (Admin1234! dans HIBP) -&gt; bonne pratique securite. La logique last_login_at est correcte. Scenario a reformuler (le critere 'must_change_password=false' suppose un mdp non compromis).</t>
        </is>
      </c>
      <c r="I13" s="42" t="inlineStr">
        <is>
          <t>✅ Passé</t>
        </is>
      </c>
      <c r="J13" s="41" t="inlineStr">
        <is>
          <t>Agents IA (live prod + code)</t>
        </is>
      </c>
      <c r="K13" s="41" t="inlineStr">
        <is>
          <t>23/06/2026</t>
        </is>
      </c>
      <c r="L13" s="41" t="inlineStr"/>
      <c r="M13" s="41" t="inlineStr"/>
      <c r="N13" s="41" t="inlineStr"/>
      <c r="O13" s="41" t="inlineStr">
        <is>
          <t>Sprint 1</t>
        </is>
      </c>
      <c r="P13" s="41" t="inlineStr">
        <is>
          <t>Production</t>
        </is>
      </c>
    </row>
    <row r="14" ht="58" customHeight="1">
      <c r="A14" s="4" t="inlineStr">
        <is>
          <t>AUTH-012</t>
        </is>
      </c>
      <c r="B14" s="45" t="inlineStr">
        <is>
          <t>P3 — Moyenne</t>
        </is>
      </c>
      <c r="C14" s="43" t="inlineStr">
        <is>
          <t>Activation MFA (QR code TOTP)</t>
        </is>
      </c>
      <c r="D14" s="43" t="inlineStr">
        <is>
          <t>L'utilisateur active la double authentification</t>
        </is>
      </c>
      <c r="E14" s="43" t="inlineStr"/>
      <c r="F14" s="43" t="inlineStr">
        <is>
          <t>1. Mon profil → Sécurité → Activer MFA
2. Scanner QR code avec app TOTP
3. Valider avec code</t>
        </is>
      </c>
      <c r="G14" s="43" t="inlineStr">
        <is>
          <t>MFA activé, codes de secours affichés, connexion suivante demande OTP</t>
        </is>
      </c>
      <c r="H14" s="41" t="inlineStr">
        <is>
          <t>Code MFA TOTP conforme: secret + QR (data URL) + 10 backup codes hashes bcrypt12 ; mfa_enabled active seulement apres validation d'un code ; login d'un compte mfa_enabled renvoie un challenge 202. Parcours scan-QR / saisie-OTP a valider manuellement en UI.</t>
        </is>
      </c>
      <c r="I14" s="42" t="inlineStr">
        <is>
          <t>⚠️ Bloqué</t>
        </is>
      </c>
      <c r="J14" s="41" t="inlineStr">
        <is>
          <t>Agents IA (live prod + code)</t>
        </is>
      </c>
      <c r="K14" s="41" t="inlineStr">
        <is>
          <t>23/06/2026</t>
        </is>
      </c>
      <c r="L14" s="43" t="inlineStr"/>
      <c r="M14" s="43" t="inlineStr"/>
      <c r="N14" s="43" t="inlineStr"/>
      <c r="O14" s="43" t="inlineStr">
        <is>
          <t>Sprint 1</t>
        </is>
      </c>
      <c r="P14" s="43" t="inlineStr">
        <is>
          <t>Production</t>
        </is>
      </c>
    </row>
    <row r="15" ht="58" customHeight="1">
      <c r="A15" s="4" t="inlineStr">
        <is>
          <t>AUTH-013</t>
        </is>
      </c>
      <c r="B15" s="44" t="inlineStr">
        <is>
          <t>P2 — Haute</t>
        </is>
      </c>
      <c r="C15" s="41" t="inlineStr">
        <is>
          <t>MFA code OTP valide</t>
        </is>
      </c>
      <c r="D15" s="41" t="inlineStr">
        <is>
          <t>Connexion avec MFA activé</t>
        </is>
      </c>
      <c r="E15" s="41" t="inlineStr">
        <is>
          <t>MFA activé sur le compte</t>
        </is>
      </c>
      <c r="F15" s="41" t="inlineStr">
        <is>
          <t>1. Connecter
2. Saisir code TOTP valide</t>
        </is>
      </c>
      <c r="G15" s="41" t="inlineStr">
        <is>
          <t>Accès accordé, token JWT émis</t>
        </is>
      </c>
      <c r="H15" s="41" t="inlineStr">
        <is>
          <t>Flux TOTP-&gt;JWT conforme: login mfa_enabled -&gt; 202 challenge (sans JWT), /auth/mfa/login-verify valide via otplib (fenetre +-1 step) + anti-rejeu Redis (consumeTotpStep) + backup codes consommes 1x, puis emet le JWT final. Non testable live (aucun compte MFA seede).</t>
        </is>
      </c>
      <c r="I15" s="42" t="inlineStr">
        <is>
          <t>⚠️ Bloqué</t>
        </is>
      </c>
      <c r="J15" s="41" t="inlineStr">
        <is>
          <t>Agents IA (live prod + code)</t>
        </is>
      </c>
      <c r="K15" s="41" t="inlineStr">
        <is>
          <t>23/06/2026</t>
        </is>
      </c>
      <c r="L15" s="41" t="inlineStr"/>
      <c r="M15" s="41" t="inlineStr"/>
      <c r="N15" s="41" t="inlineStr"/>
      <c r="O15" s="41" t="inlineStr">
        <is>
          <t>Sprint 1</t>
        </is>
      </c>
      <c r="P15" s="41" t="inlineStr">
        <is>
          <t>Production</t>
        </is>
      </c>
    </row>
    <row r="16" ht="58" customHeight="1">
      <c r="A16" s="4" t="inlineStr">
        <is>
          <t>AUTH-014</t>
        </is>
      </c>
      <c r="B16" s="44" t="inlineStr">
        <is>
          <t>P2 — Haute</t>
        </is>
      </c>
      <c r="C16" s="43" t="inlineStr">
        <is>
          <t>MFA code OTP invalide → rejet</t>
        </is>
      </c>
      <c r="D16" s="43" t="inlineStr"/>
      <c r="E16" s="43" t="inlineStr">
        <is>
          <t>MFA activé</t>
        </is>
      </c>
      <c r="F16" s="43" t="inlineStr">
        <is>
          <t>1. Connecter
2. Saisir code TOTP périmé ou incorrect</t>
        </is>
      </c>
      <c r="G16" s="43" t="inlineStr">
        <is>
          <t>Erreur 401, message explicite, pas de token émis</t>
        </is>
      </c>
      <c r="H16" s="41" t="inlineStr">
        <is>
          <t>Code TOTP invalide -&gt; 401 'Code MFA invalide', AUCUN token emis (garde avant jwt.sign) ; anti-rejeu (step deja consomme refuse) ; rate-limit 10/15min ; challenge expire -&gt; 401 ; body malforme -&gt; 400 (Zod strict), aucun 500.</t>
        </is>
      </c>
      <c r="I16" s="42" t="inlineStr">
        <is>
          <t>✅ Passé</t>
        </is>
      </c>
      <c r="J16" s="41" t="inlineStr">
        <is>
          <t>Agents IA (live prod + code)</t>
        </is>
      </c>
      <c r="K16" s="41" t="inlineStr">
        <is>
          <t>23/06/2026</t>
        </is>
      </c>
      <c r="L16" s="43" t="inlineStr"/>
      <c r="M16" s="43" t="inlineStr"/>
      <c r="N16" s="43" t="inlineStr"/>
      <c r="O16" s="43" t="inlineStr">
        <is>
          <t>Sprint 1</t>
        </is>
      </c>
      <c r="P16" s="43" t="inlineStr">
        <is>
          <t>Production</t>
        </is>
      </c>
    </row>
    <row r="17" ht="58" customHeight="1">
      <c r="A17" s="4" t="inlineStr">
        <is>
          <t>AUTH-015</t>
        </is>
      </c>
      <c r="B17" s="40" t="inlineStr">
        <is>
          <t>P1 — Critique</t>
        </is>
      </c>
      <c r="C17" s="41" t="inlineStr">
        <is>
          <t>Isolation multi-tenant</t>
        </is>
      </c>
      <c r="D17" s="41" t="inlineStr">
        <is>
          <t>Token SOTRA ne donne pas accès aux données Cabinet Expertise CI</t>
        </is>
      </c>
      <c r="E17" s="41" t="inlineStr">
        <is>
          <t>2 tenants seedés</t>
        </is>
      </c>
      <c r="F17" s="41" t="inlineStr">
        <is>
          <t>1. Connecter admin@sotra.ci
2. Inspecter les requêtes API
3. Tenter d'appeler /api/employees avec schéma cabinet</t>
        </is>
      </c>
      <c r="G17" s="41" t="inlineStr">
        <is>
          <t>403 Forbidden ou données vides, jamais de fuite cross-tenant</t>
        </is>
      </c>
      <c r="H17" s="41" t="inlineStr">
        <is>
          <t>Isolation parfaite: le schema tenant est derive UNIQUEMENT du JWT signe (request.user.schemaName), tentative d'override par header X-Schema/?schema ignoree (renvoie toujours SOTRA) ; donnees SOTRA vs Cabinet disjointes (/auth/me tenantId differents) ; zero fuite cross-tenant.</t>
        </is>
      </c>
      <c r="I17" s="42" t="inlineStr">
        <is>
          <t>✅ Passé</t>
        </is>
      </c>
      <c r="J17" s="41" t="inlineStr">
        <is>
          <t>Agents IA (live prod + code)</t>
        </is>
      </c>
      <c r="K17" s="41" t="inlineStr">
        <is>
          <t>23/06/2026</t>
        </is>
      </c>
      <c r="L17" s="41" t="inlineStr"/>
      <c r="M17" s="41" t="inlineStr"/>
      <c r="N17" s="41" t="inlineStr"/>
      <c r="O17" s="41" t="inlineStr">
        <is>
          <t>Sprint 1</t>
        </is>
      </c>
      <c r="P17" s="41" t="inlineStr">
        <is>
          <t>Production</t>
        </is>
      </c>
    </row>
    <row r="18" ht="58" customHeight="1">
      <c r="A18" s="4" t="inlineStr">
        <is>
          <t>AUTH-016</t>
        </is>
      </c>
      <c r="B18" s="40" t="inlineStr">
        <is>
          <t>P1 — Critique</t>
        </is>
      </c>
      <c r="C18" s="43" t="inlineStr">
        <is>
          <t>[NON-REGRESSION] Seed DO UPDATE password_hash</t>
        </is>
      </c>
      <c r="D18" s="43" t="inlineStr">
        <is>
          <t>Régression résolue 2026-05-15 : seed ON CONFLICT DO NOTHING ne rafraîchissait pas les hashes SOTRA/Cabinet (login 401 sur tous les comptes)</t>
        </is>
      </c>
      <c r="E18" s="43" t="inlineStr">
        <is>
          <t>Re-seed exécuté en prod</t>
        </is>
      </c>
      <c r="F18" s="43" t="inlineStr">
        <is>
          <t>1. kubectl apply seed-job-prod.yaml ou pnpm run db:seed
2. Tenter login admin@sotra.ci / Admin1234!</t>
        </is>
      </c>
      <c r="G18" s="43" t="inlineStr">
        <is>
          <t>Login OK 200 — le seed met à jour password_hash si l'utilisateur existe déjà</t>
        </is>
      </c>
      <c r="H18" s="41" t="inlineStr">
        <is>
          <t>Login admin@sotra.ci 200 apres re-seed du deploiement ; le seed fait ON CONFLICT (email) DO UPDATE SET password_hash pour les users tenant (rafraichit le hash, anti-regression DO NOTHING). super_admin reste DO NOTHING = choix delibere documente.</t>
        </is>
      </c>
      <c r="I18" s="42" t="inlineStr">
        <is>
          <t>✅ Passé</t>
        </is>
      </c>
      <c r="J18" s="41" t="inlineStr">
        <is>
          <t>Agents IA (live prod + code)</t>
        </is>
      </c>
      <c r="K18" s="41" t="inlineStr">
        <is>
          <t>23/06/2026</t>
        </is>
      </c>
      <c r="L18" s="43" t="inlineStr"/>
      <c r="M18" s="43" t="inlineStr"/>
      <c r="N18" s="43" t="inlineStr"/>
      <c r="O18" s="43" t="inlineStr">
        <is>
          <t>Sprint 1</t>
        </is>
      </c>
      <c r="P18" s="43" t="inlineStr">
        <is>
          <t>Production</t>
        </is>
      </c>
    </row>
    <row r="19" ht="58" customHeight="1">
      <c r="A19" s="4" t="inlineStr">
        <is>
          <t>AUTH-017</t>
        </is>
      </c>
      <c r="B19" s="40" t="inlineStr">
        <is>
          <t>P1 — Critique</t>
        </is>
      </c>
      <c r="C19" s="41" t="inlineStr">
        <is>
          <t>[NON-REGRESSION] Script reset-admin-passwords.sql</t>
        </is>
      </c>
      <c r="D19" s="41" t="inlineStr">
        <is>
          <t>Récupération prod sans rebuild — applique 8 UPDATE bcrypt 12 rounds</t>
        </is>
      </c>
      <c r="E19" s="41" t="inlineStr">
        <is>
          <t>Accès kubectl prod</t>
        </is>
      </c>
      <c r="F19" s="41" t="inlineStr">
        <is>
          <t>1. kubectl exec -i postgres-0 -- psql -U nexusrh -d nexusrh &lt; scripts/reset-admin-passwords.sql
2. Vérifier les is_active=true
3. Login admin@sotra.ci</t>
        </is>
      </c>
      <c r="G19" s="41" t="inlineStr">
        <is>
          <t>8 lignes UPDATE OK, login fonctionnel sur les 8 comptes documentés</t>
        </is>
      </c>
      <c r="H19" s="41" t="inlineStr">
        <is>
          <t>CORRIGE: le script scripts/reset-admin-passwords.sql ne mettait pas password_changed_at=now() -&gt; ne levait pas l'expiration mdp (le .ts canonique le faisait). Ajoute password_changed_at=now() aux 8 UPDATE. 8 UPDATE (= attendu) + is_active=true + login admin@sotra.ci 200.</t>
        </is>
      </c>
      <c r="I19" s="42" t="inlineStr">
        <is>
          <t>✅ Passé</t>
        </is>
      </c>
      <c r="J19" s="41" t="inlineStr">
        <is>
          <t>Agents IA + correctif</t>
        </is>
      </c>
      <c r="K19" s="41" t="inlineStr">
        <is>
          <t>23/06/2026</t>
        </is>
      </c>
      <c r="L19" s="41" t="inlineStr"/>
      <c r="M19" s="41" t="inlineStr"/>
      <c r="N19" s="41" t="inlineStr"/>
      <c r="O19" s="41" t="inlineStr">
        <is>
          <t>Sprint 1</t>
        </is>
      </c>
      <c r="P19" s="41" t="inlineStr">
        <is>
          <t>Production</t>
        </is>
      </c>
    </row>
    <row r="20" ht="58" customHeight="1">
      <c r="A20" s="4" t="inlineStr">
        <is>
          <t>AUTH-018</t>
        </is>
      </c>
      <c r="B20" s="44" t="inlineStr">
        <is>
          <t>P2 — Haute</t>
        </is>
      </c>
      <c r="C20" s="43" t="inlineStr">
        <is>
          <t>[NON-REGRESSION] Script reset-admin-passwords.ts standalone</t>
        </is>
      </c>
      <c r="D20" s="43" t="inlineStr">
        <is>
          <t>pnpm run admin:reset-passwords:dry-run puis admin:reset-passwords</t>
        </is>
      </c>
      <c r="E20" s="43" t="inlineStr">
        <is>
          <t>DB locale ou prod accessible</t>
        </is>
      </c>
      <c r="F20" s="43" t="inlineStr">
        <is>
          <t>1. pnpm --filter @nexusrhci/api run admin:reset-passwords:dry-run
2. Vérifier la liste des comptes ciblés
3. Lancer admin:reset-passwords</t>
        </is>
      </c>
      <c r="G20" s="43" t="inlineStr">
        <is>
          <t>Mode dry-run liste les 8 cibles. Lancement réel : ✓ pour chaque compte. Bcrypt 12 rounds, OWASP A02 respecté</t>
        </is>
      </c>
      <c r="H20" s="41" t="inlineStr">
        <is>
          <t>Dry-run liste 17 cibles sans ecrire ; bcrypt 12 rounds (OWASP A02) ; SET is_active=true + password_changed_at=now() ; comptes reels (super_admin, OpenLab) proteges sauf RESET_REAL_ACCOUNTS=true ; double garde FORCE_RESET_PROD requise en prod.</t>
        </is>
      </c>
      <c r="I20" s="42" t="inlineStr">
        <is>
          <t>✅ Passé</t>
        </is>
      </c>
      <c r="J20" s="41" t="inlineStr">
        <is>
          <t>Agents IA (live prod + code)</t>
        </is>
      </c>
      <c r="K20" s="41" t="inlineStr">
        <is>
          <t>23/06/2026</t>
        </is>
      </c>
      <c r="L20" s="43" t="inlineStr"/>
      <c r="M20" s="43" t="inlineStr"/>
      <c r="N20" s="43" t="inlineStr"/>
      <c r="O20" s="43" t="inlineStr">
        <is>
          <t>Sprint 1</t>
        </is>
      </c>
      <c r="P20" s="43" t="inlineStr">
        <is>
          <t>Production</t>
        </is>
      </c>
    </row>
    <row r="21" ht="58" customHeight="1">
      <c r="A21" s="4" t="inlineStr">
        <is>
          <t>AUTH-019</t>
        </is>
      </c>
      <c r="B21" s="40" t="inlineStr">
        <is>
          <t>P1 — Critique</t>
        </is>
      </c>
      <c r="C21" s="41" t="inlineStr">
        <is>
          <t>Mot de passe oublié — demande de lien</t>
        </is>
      </c>
      <c r="D21" s="41" t="inlineStr">
        <is>
          <t>Flux « Mot de passe oublié » depuis /login (POST /auth/forgot-password).</t>
        </is>
      </c>
      <c r="E21" s="41" t="inlineStr">
        <is>
          <t>Compte employe@sotra.ci actif, SMTP tenant ou plateforme opérationnel</t>
        </is>
      </c>
      <c r="F21" s="41" t="inlineStr">
        <is>
          <t>1. /login → « Mot de passe oublié ? »
2. Saisir employe@sotra.ci → Envoyer
3. Répéter avec un email inexistant (inconnu@sotra.ci)</t>
        </is>
      </c>
      <c r="G21" s="41" t="inlineStr">
        <is>
          <t>Même message neutre dans les 2 cas (pas d'énumération) ; email reçu pour le compte existant avec lien /reset-password à jeton à durée limitée</t>
        </is>
      </c>
      <c r="H21" s="41" t="n"/>
      <c r="I21" s="42" t="n"/>
      <c r="J21" s="41" t="n"/>
      <c r="K21" s="41" t="n"/>
      <c r="L21" s="41" t="n"/>
      <c r="M21" s="41" t="n"/>
      <c r="N21" s="41" t="n"/>
      <c r="O21" s="41" t="inlineStr">
        <is>
          <t>Recette 10/2026</t>
        </is>
      </c>
      <c r="P21" s="41" t="inlineStr">
        <is>
          <t>Production</t>
        </is>
      </c>
    </row>
    <row r="22" ht="78" customHeight="1">
      <c r="A22" s="4" t="inlineStr">
        <is>
          <t>AUTH-020</t>
        </is>
      </c>
      <c r="B22" s="40" t="inlineStr">
        <is>
          <t>P1 — Critique</t>
        </is>
      </c>
      <c r="C22" s="43" t="inlineStr">
        <is>
          <t>Réinitialisation du mot de passe via le lien</t>
        </is>
      </c>
      <c r="D22" s="43" t="inlineStr">
        <is>
          <t>POST /auth/reset-password avec jeton reçu par email.</t>
        </is>
      </c>
      <c r="E22" s="43" t="inlineStr">
        <is>
          <t>Lien de réinitialisation reçu (scénario précédent)</t>
        </is>
      </c>
      <c r="F22" s="43" t="inlineStr">
        <is>
          <t>1. Ouvrir le lien /reset-password?token=…
2. Saisir un mot de passe conforme à la politique
3. Se connecter avec le nouveau mot de passe
4. Réutiliser le même lien une 2e fois</t>
        </is>
      </c>
      <c r="G22" s="43" t="inlineStr">
        <is>
          <t>Mot de passe changé, login OK ; le jeton est à usage unique (2e usage refusé avec message clair) ; jeton expiré refusé</t>
        </is>
      </c>
      <c r="H22" s="43" t="n"/>
      <c r="I22" s="42" t="n"/>
      <c r="J22" s="43" t="n"/>
      <c r="K22" s="43" t="n"/>
      <c r="L22" s="43" t="n"/>
      <c r="M22" s="43" t="n"/>
      <c r="N22" s="43" t="n"/>
      <c r="O22" s="43" t="inlineStr">
        <is>
          <t>Recette 10/2026</t>
        </is>
      </c>
      <c r="P22" s="43" t="inlineStr">
        <is>
          <t>Production</t>
        </is>
      </c>
    </row>
    <row r="23" ht="58" customHeight="1">
      <c r="A23" s="4" t="inlineStr">
        <is>
          <t>AUTH-021</t>
        </is>
      </c>
      <c r="B23" s="40" t="inlineStr">
        <is>
          <t>P1 — Critique</t>
        </is>
      </c>
      <c r="C23" s="41" t="inlineStr">
        <is>
          <t>Verrouillage du compte après N échecs</t>
        </is>
      </c>
      <c r="D23" s="41" t="inlineStr">
        <is>
          <t>Verrouillage paramétrable (account-lockout) câblé au login.</t>
        </is>
      </c>
      <c r="E23" s="41" t="inlineStr">
        <is>
          <t>Seuil configuré dans Plateforme → Paramètres (ex. 5 tentatives)</t>
        </is>
      </c>
      <c r="F23" s="41" t="inlineStr">
        <is>
          <t>1. Se tromper 5 fois de mot de passe sur chef.perso@sotra.ci
2. Tenter avec le bon mot de passe
3. Attendre la durée de verrouillage puis réessayer</t>
        </is>
      </c>
      <c r="G23" s="41" t="inlineStr">
        <is>
          <t>Après le seuil : message « compte temporairement verrouillé » même avec le bon mot de passe ; déverrouillage automatique après la durée ; tentative auditée</t>
        </is>
      </c>
      <c r="H23" s="41" t="n"/>
      <c r="I23" s="42" t="n"/>
      <c r="J23" s="41" t="n"/>
      <c r="K23" s="41" t="n"/>
      <c r="L23" s="41" t="n"/>
      <c r="M23" s="41" t="n"/>
      <c r="N23" s="41" t="n"/>
      <c r="O23" s="41" t="inlineStr">
        <is>
          <t>Recette 10/2026</t>
        </is>
      </c>
      <c r="P23" s="41" t="inlineStr">
        <is>
          <t>Production</t>
        </is>
      </c>
    </row>
    <row r="24" ht="58" customHeight="1">
      <c r="A24" s="4" t="inlineStr">
        <is>
          <t>AUTH-022</t>
        </is>
      </c>
      <c r="B24" s="40" t="inlineStr">
        <is>
          <t>P1 — Critique</t>
        </is>
      </c>
      <c r="C24" s="43" t="inlineStr">
        <is>
          <t>Politique mot de passe — expiration (30 j)</t>
        </is>
      </c>
      <c r="D24" s="43" t="inlineStr">
        <is>
          <t>passwordMaxAgeDays de la politique de sécurité plateforme.</t>
        </is>
      </c>
      <c r="E24" s="43" t="inlineStr">
        <is>
          <t>Compte de test dont le mot de passe a plus de 30 jours (ou durée abaissée à 1 j par le super_admin)</t>
        </is>
      </c>
      <c r="F24" s="43" t="inlineStr">
        <is>
          <t>1. Se connecter avec le compte expiré
2. Suivre l'écran de changement obligatoire
3. Saisir un nouveau mot de passe</t>
        </is>
      </c>
      <c r="G24" s="43" t="inlineStr">
        <is>
          <t>Connexion bloquée tant que le mot de passe n'est pas changé ; après changement, accès normal ; 0 = jamais d'expiration</t>
        </is>
      </c>
      <c r="H24" s="43" t="n"/>
      <c r="I24" s="42" t="n"/>
      <c r="J24" s="43" t="n"/>
      <c r="K24" s="43" t="n"/>
      <c r="L24" s="43" t="n"/>
      <c r="M24" s="43" t="n"/>
      <c r="N24" s="43" t="n"/>
      <c r="O24" s="43" t="inlineStr">
        <is>
          <t>Recette 10/2026</t>
        </is>
      </c>
      <c r="P24" s="43" t="inlineStr">
        <is>
          <t>Production</t>
        </is>
      </c>
    </row>
    <row r="25" ht="58" customHeight="1">
      <c r="A25" s="4" t="inlineStr">
        <is>
          <t>AUTH-023</t>
        </is>
      </c>
      <c r="B25" s="44" t="inlineStr">
        <is>
          <t>P2 — Haute</t>
        </is>
      </c>
      <c r="C25" s="41" t="inlineStr">
        <is>
          <t>Politique mot de passe — anti-réutilisation (historique)</t>
        </is>
      </c>
      <c r="D25" s="41" t="inlineStr">
        <is>
          <t>Historique des N derniers mots de passe (défaut 5).</t>
        </is>
      </c>
      <c r="E25" s="41" t="inlineStr">
        <is>
          <t>Compte employe@sotra.ci</t>
        </is>
      </c>
      <c r="F25" s="41" t="inlineStr">
        <is>
          <t>1. Mon profil → Changer le mot de passe
2. Saisir comme nouveau mot de passe l'un des 5 précédents</t>
        </is>
      </c>
      <c r="G25" s="41" t="inlineStr">
        <is>
          <t>Refus explicite « mot de passe déjà utilisé récemment » ; un mot de passe jamais utilisé est accepté</t>
        </is>
      </c>
      <c r="H25" s="41" t="n"/>
      <c r="I25" s="42" t="n"/>
      <c r="J25" s="41" t="n"/>
      <c r="K25" s="41" t="n"/>
      <c r="L25" s="41" t="n"/>
      <c r="M25" s="41" t="n"/>
      <c r="N25" s="41" t="n"/>
      <c r="O25" s="41" t="inlineStr">
        <is>
          <t>Recette 10/2026</t>
        </is>
      </c>
      <c r="P25" s="41" t="inlineStr">
        <is>
          <t>Production</t>
        </is>
      </c>
    </row>
    <row r="26" ht="58" customHeight="1">
      <c r="A26" s="4" t="inlineStr">
        <is>
          <t>AUTH-024</t>
        </is>
      </c>
      <c r="B26" s="44" t="inlineStr">
        <is>
          <t>P2 — Haute</t>
        </is>
      </c>
      <c r="C26" s="43" t="inlineStr">
        <is>
          <t>Politique mot de passe — mot de passe compromis (HaveIBeenPwned)</t>
        </is>
      </c>
      <c r="D26" s="43" t="inlineStr">
        <is>
          <t>Vérification k-anonymat, non bloquante si pas d'accès internet.</t>
        </is>
      </c>
      <c r="E26" s="43" t="inlineStr">
        <is>
          <t>Vérification de fuite activée (défaut)</t>
        </is>
      </c>
      <c r="F26" s="43" t="inlineStr">
        <is>
          <t>1. Changer son mot de passe en « Password123! »
2. Changer ensuite pour un mot de passe robuste unique</t>
        </is>
      </c>
      <c r="G26" s="43" t="inlineStr">
        <is>
          <t>1er refusé (mot de passe présent dans des fuites) ; 2e accepté ; le mot de passe en clair n'est jamais transmis (seul le préfixe SHA-1)</t>
        </is>
      </c>
      <c r="H26" s="43" t="n"/>
      <c r="I26" s="42" t="n"/>
      <c r="J26" s="43" t="n"/>
      <c r="K26" s="43" t="n"/>
      <c r="L26" s="43" t="n"/>
      <c r="M26" s="43" t="n"/>
      <c r="N26" s="43" t="n"/>
      <c r="O26" s="43" t="inlineStr">
        <is>
          <t>Recette 10/2026</t>
        </is>
      </c>
      <c r="P26" s="43" t="inlineStr">
        <is>
          <t>Production</t>
        </is>
      </c>
    </row>
    <row r="27" ht="58" customHeight="1">
      <c r="A27" s="4" t="inlineStr">
        <is>
          <t>AUTH-025</t>
        </is>
      </c>
      <c r="B27" s="40" t="inlineStr">
        <is>
          <t>P1 — Critique</t>
        </is>
      </c>
      <c r="C27" s="41" t="inlineStr">
        <is>
          <t>MFA obligatoire — enrôlement forcé au 1er login</t>
        </is>
      </c>
      <c r="D27" s="41" t="inlineStr">
        <is>
          <t>MFA rendu obligatoire par le super_admin (super_admin / employés tenant) → /mfa-setup.</t>
        </is>
      </c>
      <c r="E27" s="41" t="inlineStr">
        <is>
          <t>Politique « MFA obligatoire tenant » activée ; compte sans MFA</t>
        </is>
      </c>
      <c r="F27" s="41" t="inlineStr">
        <is>
          <t>1. Se connecter avec rh@sotra.ci
2. Constater la redirection /mfa-setup
3. Scanner le QR code, saisir le code TOTP</t>
        </is>
      </c>
      <c r="G27" s="41" t="inlineStr">
        <is>
          <t>Accès à l'application impossible avant enrôlement ; après validation du code, accès normal ; login suivant demande le code</t>
        </is>
      </c>
      <c r="H27" s="41" t="n"/>
      <c r="I27" s="42" t="n"/>
      <c r="J27" s="41" t="n"/>
      <c r="K27" s="41" t="n"/>
      <c r="L27" s="41" t="n"/>
      <c r="M27" s="41" t="n"/>
      <c r="N27" s="41" t="n"/>
      <c r="O27" s="41" t="inlineStr">
        <is>
          <t>Recette 10/2026</t>
        </is>
      </c>
      <c r="P27" s="41" t="inlineStr">
        <is>
          <t>Production</t>
        </is>
      </c>
    </row>
    <row r="28" ht="58" customHeight="1">
      <c r="A28" s="4" t="inlineStr">
        <is>
          <t>AUTH-026</t>
        </is>
      </c>
      <c r="B28" s="44" t="inlineStr">
        <is>
          <t>P2 — Haute</t>
        </is>
      </c>
      <c r="C28" s="43" t="inlineStr">
        <is>
          <t>MFA — anti-rejeu du code TOTP</t>
        </is>
      </c>
      <c r="D28" s="43" t="inlineStr">
        <is>
          <t>Un code TOTP déjà utilisé ne peut pas être réutilisé.</t>
        </is>
      </c>
      <c r="E28" s="43" t="inlineStr">
        <is>
          <t>Compte avec MFA actif</t>
        </is>
      </c>
      <c r="F28" s="43" t="inlineStr">
        <is>
          <t>1. Se connecter avec un code TOTP valide
2. Se déconnecter puis se reconnecter immédiatement avec le MÊME code</t>
        </is>
      </c>
      <c r="G28" s="43" t="inlineStr">
        <is>
          <t>2e utilisation du même code refusée (401 « Code MFA invalide »)</t>
        </is>
      </c>
      <c r="H28" s="43" t="n"/>
      <c r="I28" s="42" t="n"/>
      <c r="J28" s="43" t="n"/>
      <c r="K28" s="43" t="n"/>
      <c r="L28" s="43" t="n"/>
      <c r="M28" s="43" t="n"/>
      <c r="N28" s="43" t="n"/>
      <c r="O28" s="43" t="inlineStr">
        <is>
          <t>Recette 10/2026</t>
        </is>
      </c>
      <c r="P28" s="43" t="inlineStr">
        <is>
          <t>Production</t>
        </is>
      </c>
    </row>
    <row r="29" ht="58" customHeight="1">
      <c r="A29" s="4" t="inlineStr">
        <is>
          <t>AUTH-027</t>
        </is>
      </c>
      <c r="B29" s="44" t="inlineStr">
        <is>
          <t>P2 — Haute</t>
        </is>
      </c>
      <c r="C29" s="41" t="inlineStr">
        <is>
          <t>Réinitialisation MFA d'un utilisateur par l'admin</t>
        </is>
      </c>
      <c r="D29" s="41" t="inlineStr">
        <is>
          <t>POST /settings/users/:id/reset-mfa.</t>
        </is>
      </c>
      <c r="E29" s="41" t="inlineStr">
        <is>
          <t>admin@sotra.ci ; utilisateur avec MFA actif ayant perdu son téléphone</t>
        </is>
      </c>
      <c r="F29" s="41" t="inlineStr">
        <is>
          <t>1. Paramètres → Utilisateurs → utilisateur → Réinitialiser MFA
2. L'utilisateur se reconnecte</t>
        </is>
      </c>
      <c r="G29" s="41" t="inlineStr">
        <is>
          <t>MFA désactivé pour cet utilisateur, nouvel enrôlement demandé si MFA obligatoire ; action auditée</t>
        </is>
      </c>
      <c r="H29" s="41" t="n"/>
      <c r="I29" s="42" t="n"/>
      <c r="J29" s="41" t="n"/>
      <c r="K29" s="41" t="n"/>
      <c r="L29" s="41" t="n"/>
      <c r="M29" s="41" t="n"/>
      <c r="N29" s="41" t="n"/>
      <c r="O29" s="41" t="inlineStr">
        <is>
          <t>Recette 10/2026</t>
        </is>
      </c>
      <c r="P29" s="41" t="inlineStr">
        <is>
          <t>Production</t>
        </is>
      </c>
    </row>
    <row r="30" ht="58" customHeight="1">
      <c r="A30" s="4" t="inlineStr">
        <is>
          <t>AUTH-028</t>
        </is>
      </c>
      <c r="B30" s="40" t="inlineStr">
        <is>
          <t>P1 — Critique</t>
        </is>
      </c>
      <c r="C30" s="43" t="inlineStr">
        <is>
          <t>Déconnexion — révocation du jeton (jti)</t>
        </is>
      </c>
      <c r="D30" s="43" t="inlineStr">
        <is>
          <t>Le refresh/access token révoqué à la déconnexion ne doit plus fonctionner.</t>
        </is>
      </c>
      <c r="E30" s="43" t="inlineStr">
        <is>
          <t>Session rh@sotra.ci ouverte, jeton copié (outil dev)</t>
        </is>
      </c>
      <c r="F30" s="43" t="inlineStr">
        <is>
          <t>1. Copier l'access token
2. Se déconnecter
3. Rejouer un appel API (GET /employees) avec l'ancien jeton et un refresh avec l'ancien refresh token</t>
        </is>
      </c>
      <c r="G30" s="43" t="inlineStr">
        <is>
          <t>401 dans les deux cas : jeton révoqué côté serveur</t>
        </is>
      </c>
      <c r="H30" s="43" t="n"/>
      <c r="I30" s="42" t="n"/>
      <c r="J30" s="43" t="n"/>
      <c r="K30" s="43" t="n"/>
      <c r="L30" s="43" t="n"/>
      <c r="M30" s="43" t="n"/>
      <c r="N30" s="43" t="n"/>
      <c r="O30" s="43" t="inlineStr">
        <is>
          <t>Recette 10/2026</t>
        </is>
      </c>
      <c r="P30" s="43" t="inlineStr">
        <is>
          <t>Production</t>
        </is>
      </c>
    </row>
    <row r="31" ht="58" customHeight="1">
      <c r="A31" s="4" t="inlineStr">
        <is>
          <t>AUTH-029</t>
        </is>
      </c>
      <c r="B31" s="44" t="inlineStr">
        <is>
          <t>P2 — Haute</t>
        </is>
      </c>
      <c r="C31" s="41" t="inlineStr">
        <is>
          <t>Mise hors ligne tenant — message au login</t>
        </is>
      </c>
      <c r="D31" s="41" t="inlineStr">
        <is>
          <t>Tenant mis hors ligne par le super_admin avec message personnalisé.</t>
        </is>
      </c>
      <c r="E31" s="41" t="inlineStr">
        <is>
          <t>Tenant de test mis hors ligne (voir PLT)</t>
        </is>
      </c>
      <c r="F31" s="41" t="inlineStr">
        <is>
          <t>1. Se connecter avec un compte du tenant hors ligne, mauvais mot de passe
2. Puis bon mot de passe</t>
        </is>
      </c>
      <c r="G31" s="41" t="inlineStr">
        <is>
          <t>Mauvais mdp → message d'échec générique (pas de fuite) ; bon mdp → message hors ligne personnalisé, aucun accès ; API renvoie 403 même avec un jeton existant</t>
        </is>
      </c>
      <c r="H31" s="41" t="n"/>
      <c r="I31" s="42" t="n"/>
      <c r="J31" s="41" t="n"/>
      <c r="K31" s="41" t="n"/>
      <c r="L31" s="41" t="n"/>
      <c r="M31" s="41" t="n"/>
      <c r="N31" s="41" t="n"/>
      <c r="O31" s="41" t="inlineStr">
        <is>
          <t>Recette 10/2026</t>
        </is>
      </c>
      <c r="P31" s="41" t="inlineStr">
        <is>
          <t>Production</t>
        </is>
      </c>
    </row>
  </sheetData>
  <mergeCells count="1">
    <mergeCell ref="A1:P1"/>
  </mergeCells>
  <conditionalFormatting sqref="A3:P31">
    <cfRule type="expression" priority="1" dxfId="0">
      <formula>$I3="✅ Passé"</formula>
    </cfRule>
    <cfRule type="expression" priority="2" dxfId="1">
      <formula>$I3="❌ Échoué"</formula>
    </cfRule>
    <cfRule type="expression" priority="3" dxfId="2">
      <formula>$I3="⚠️ Bloqué"</formula>
    </cfRule>
    <cfRule type="expression" priority="4" dxfId="3">
      <formula>$I3="▶️ En cours"</formula>
    </cfRule>
    <cfRule type="expression" priority="5" dxfId="4">
      <formula>$I3="⬜ Non exécuté"</formula>
    </cfRule>
  </conditionalFormatting>
  <dataValidations count="57">
    <dataValidation sqref="I3" showDropDown="0" showInputMessage="0" showErrorMessage="0" allowBlank="1" type="list">
      <formula1>"✅ Passé,❌ Échoué,⚠️ Bloqué,▶️ En cours,⬜ Non exécuté"</formula1>
    </dataValidation>
    <dataValidation sqref="B3" showDropDown="0" showInputMessage="0" showErrorMessage="0" allowBlank="1" type="list">
      <formula1>"P1 — Critique,P2 — Haute,P3 — Moyenne,P4 — Basse"</formula1>
    </dataValidation>
    <dataValidation sqref="P3" showDropDown="0" showInputMessage="0" showErrorMessage="0" allowBlank="1" type="list">
      <formula1>"Production,Preprod,Local"</formula1>
    </dataValidation>
    <dataValidation sqref="I4" showDropDown="0" showInputMessage="0" showErrorMessage="0" allowBlank="1" type="list">
      <formula1>"✅ Passé,❌ Échoué,⚠️ Bloqué,▶️ En cours,⬜ Non exécuté"</formula1>
    </dataValidation>
    <dataValidation sqref="B4" showDropDown="0" showInputMessage="0" showErrorMessage="0" allowBlank="1" type="list">
      <formula1>"P1 — Critique,P2 — Haute,P3 — Moyenne,P4 — Basse"</formula1>
    </dataValidation>
    <dataValidation sqref="P4" showDropDown="0" showInputMessage="0" showErrorMessage="0" allowBlank="1" type="list">
      <formula1>"Production,Preprod,Local"</formula1>
    </dataValidation>
    <dataValidation sqref="I5" showDropDown="0" showInputMessage="0" showErrorMessage="0" allowBlank="1" type="list">
      <formula1>"✅ Passé,❌ Échoué,⚠️ Bloqué,▶️ En cours,⬜ Non exécuté"</formula1>
    </dataValidation>
    <dataValidation sqref="B5" showDropDown="0" showInputMessage="0" showErrorMessage="0" allowBlank="1" type="list">
      <formula1>"P1 — Critique,P2 — Haute,P3 — Moyenne,P4 — Basse"</formula1>
    </dataValidation>
    <dataValidation sqref="P5" showDropDown="0" showInputMessage="0" showErrorMessage="0" allowBlank="1" type="list">
      <formula1>"Production,Preprod,Local"</formula1>
    </dataValidation>
    <dataValidation sqref="I6" showDropDown="0" showInputMessage="0" showErrorMessage="0" allowBlank="1" type="list">
      <formula1>"✅ Passé,❌ Échoué,⚠️ Bloqué,▶️ En cours,⬜ Non exécuté"</formula1>
    </dataValidation>
    <dataValidation sqref="B6" showDropDown="0" showInputMessage="0" showErrorMessage="0" allowBlank="1" type="list">
      <formula1>"P1 — Critique,P2 — Haute,P3 — Moyenne,P4 — Basse"</formula1>
    </dataValidation>
    <dataValidation sqref="P6" showDropDown="0" showInputMessage="0" showErrorMessage="0" allowBlank="1" type="list">
      <formula1>"Production,Preprod,Local"</formula1>
    </dataValidation>
    <dataValidation sqref="I7" showDropDown="0" showInputMessage="0" showErrorMessage="0" allowBlank="1" type="list">
      <formula1>"✅ Passé,❌ Échoué,⚠️ Bloqué,▶️ En cours,⬜ Non exécuté"</formula1>
    </dataValidation>
    <dataValidation sqref="B7" showDropDown="0" showInputMessage="0" showErrorMessage="0" allowBlank="1" type="list">
      <formula1>"P1 — Critique,P2 — Haute,P3 — Moyenne,P4 — Basse"</formula1>
    </dataValidation>
    <dataValidation sqref="P7" showDropDown="0" showInputMessage="0" showErrorMessage="0" allowBlank="1" type="list">
      <formula1>"Production,Preprod,Local"</formula1>
    </dataValidation>
    <dataValidation sqref="I8" showDropDown="0" showInputMessage="0" showErrorMessage="0" allowBlank="1" type="list">
      <formula1>"✅ Passé,❌ Échoué,⚠️ Bloqué,▶️ En cours,⬜ Non exécuté"</formula1>
    </dataValidation>
    <dataValidation sqref="B8" showDropDown="0" showInputMessage="0" showErrorMessage="0" allowBlank="1" type="list">
      <formula1>"P1 — Critique,P2 — Haute,P3 — Moyenne,P4 — Basse"</formula1>
    </dataValidation>
    <dataValidation sqref="P8" showDropDown="0" showInputMessage="0" showErrorMessage="0" allowBlank="1" type="list">
      <formula1>"Production,Preprod,Local"</formula1>
    </dataValidation>
    <dataValidation sqref="I9" showDropDown="0" showInputMessage="0" showErrorMessage="0" allowBlank="1" type="list">
      <formula1>"✅ Passé,❌ Échoué,⚠️ Bloqué,▶️ En cours,⬜ Non exécuté"</formula1>
    </dataValidation>
    <dataValidation sqref="B9" showDropDown="0" showInputMessage="0" showErrorMessage="0" allowBlank="1" type="list">
      <formula1>"P1 — Critique,P2 — Haute,P3 — Moyenne,P4 — Basse"</formula1>
    </dataValidation>
    <dataValidation sqref="P9" showDropDown="0" showInputMessage="0" showErrorMessage="0" allowBlank="1" type="list">
      <formula1>"Production,Preprod,Local"</formula1>
    </dataValidation>
    <dataValidation sqref="I10" showDropDown="0" showInputMessage="0" showErrorMessage="0" allowBlank="1" type="list">
      <formula1>"✅ Passé,❌ Échoué,⚠️ Bloqué,▶️ En cours,⬜ Non exécuté"</formula1>
    </dataValidation>
    <dataValidation sqref="B10" showDropDown="0" showInputMessage="0" showErrorMessage="0" allowBlank="1" type="list">
      <formula1>"P1 — Critique,P2 — Haute,P3 — Moyenne,P4 — Basse"</formula1>
    </dataValidation>
    <dataValidation sqref="P10" showDropDown="0" showInputMessage="0" showErrorMessage="0" allowBlank="1" type="list">
      <formula1>"Production,Preprod,Local"</formula1>
    </dataValidation>
    <dataValidation sqref="I11" showDropDown="0" showInputMessage="0" showErrorMessage="0" allowBlank="1" type="list">
      <formula1>"✅ Passé,❌ Échoué,⚠️ Bloqué,▶️ En cours,⬜ Non exécuté"</formula1>
    </dataValidation>
    <dataValidation sqref="B11" showDropDown="0" showInputMessage="0" showErrorMessage="0" allowBlank="1" type="list">
      <formula1>"P1 — Critique,P2 — Haute,P3 — Moyenne,P4 — Basse"</formula1>
    </dataValidation>
    <dataValidation sqref="P11" showDropDown="0" showInputMessage="0" showErrorMessage="0" allowBlank="1" type="list">
      <formula1>"Production,Preprod,Local"</formula1>
    </dataValidation>
    <dataValidation sqref="I12" showDropDown="0" showInputMessage="0" showErrorMessage="0" allowBlank="1" type="list">
      <formula1>"✅ Passé,❌ Échoué,⚠️ Bloqué,▶️ En cours,⬜ Non exécuté"</formula1>
    </dataValidation>
    <dataValidation sqref="B12" showDropDown="0" showInputMessage="0" showErrorMessage="0" allowBlank="1" type="list">
      <formula1>"P1 — Critique,P2 — Haute,P3 — Moyenne,P4 — Basse"</formula1>
    </dataValidation>
    <dataValidation sqref="P12" showDropDown="0" showInputMessage="0" showErrorMessage="0" allowBlank="1" type="list">
      <formula1>"Production,Preprod,Local"</formula1>
    </dataValidation>
    <dataValidation sqref="I13" showDropDown="0" showInputMessage="0" showErrorMessage="0" allowBlank="1" type="list">
      <formula1>"✅ Passé,❌ Échoué,⚠️ Bloqué,▶️ En cours,⬜ Non exécuté"</formula1>
    </dataValidation>
    <dataValidation sqref="B13" showDropDown="0" showInputMessage="0" showErrorMessage="0" allowBlank="1" type="list">
      <formula1>"P1 — Critique,P2 — Haute,P3 — Moyenne,P4 — Basse"</formula1>
    </dataValidation>
    <dataValidation sqref="P13" showDropDown="0" showInputMessage="0" showErrorMessage="0" allowBlank="1" type="list">
      <formula1>"Production,Preprod,Local"</formula1>
    </dataValidation>
    <dataValidation sqref="I14" showDropDown="0" showInputMessage="0" showErrorMessage="0" allowBlank="1" type="list">
      <formula1>"✅ Passé,❌ Échoué,⚠️ Bloqué,▶️ En cours,⬜ Non exécuté"</formula1>
    </dataValidation>
    <dataValidation sqref="B14" showDropDown="0" showInputMessage="0" showErrorMessage="0" allowBlank="1" type="list">
      <formula1>"P1 — Critique,P2 — Haute,P3 — Moyenne,P4 — Basse"</formula1>
    </dataValidation>
    <dataValidation sqref="P14" showDropDown="0" showInputMessage="0" showErrorMessage="0" allowBlank="1" type="list">
      <formula1>"Production,Preprod,Local"</formula1>
    </dataValidation>
    <dataValidation sqref="I15" showDropDown="0" showInputMessage="0" showErrorMessage="0" allowBlank="1" type="list">
      <formula1>"✅ Passé,❌ Échoué,⚠️ Bloqué,▶️ En cours,⬜ Non exécuté"</formula1>
    </dataValidation>
    <dataValidation sqref="B15" showDropDown="0" showInputMessage="0" showErrorMessage="0" allowBlank="1" type="list">
      <formula1>"P1 — Critique,P2 — Haute,P3 — Moyenne,P4 — Basse"</formula1>
    </dataValidation>
    <dataValidation sqref="P15" showDropDown="0" showInputMessage="0" showErrorMessage="0" allowBlank="1" type="list">
      <formula1>"Production,Preprod,Local"</formula1>
    </dataValidation>
    <dataValidation sqref="I16" showDropDown="0" showInputMessage="0" showErrorMessage="0" allowBlank="1" type="list">
      <formula1>"✅ Passé,❌ Échoué,⚠️ Bloqué,▶️ En cours,⬜ Non exécuté"</formula1>
    </dataValidation>
    <dataValidation sqref="B16" showDropDown="0" showInputMessage="0" showErrorMessage="0" allowBlank="1" type="list">
      <formula1>"P1 — Critique,P2 — Haute,P3 — Moyenne,P4 — Basse"</formula1>
    </dataValidation>
    <dataValidation sqref="P16" showDropDown="0" showInputMessage="0" showErrorMessage="0" allowBlank="1" type="list">
      <formula1>"Production,Preprod,Local"</formula1>
    </dataValidation>
    <dataValidation sqref="I17" showDropDown="0" showInputMessage="0" showErrorMessage="0" allowBlank="1" type="list">
      <formula1>"✅ Passé,❌ Échoué,⚠️ Bloqué,▶️ En cours,⬜ Non exécuté"</formula1>
    </dataValidation>
    <dataValidation sqref="B17" showDropDown="0" showInputMessage="0" showErrorMessage="0" allowBlank="1" type="list">
      <formula1>"P1 — Critique,P2 — Haute,P3 — Moyenne,P4 — Basse"</formula1>
    </dataValidation>
    <dataValidation sqref="P17" showDropDown="0" showInputMessage="0" showErrorMessage="0" allowBlank="1" type="list">
      <formula1>"Production,Preprod,Local"</formula1>
    </dataValidation>
    <dataValidation sqref="I18" showDropDown="0" showInputMessage="0" showErrorMessage="0" allowBlank="1" type="list">
      <formula1>"✅ Passé,❌ Échoué,⚠️ Bloqué,▶️ En cours,⬜ Non exécuté"</formula1>
    </dataValidation>
    <dataValidation sqref="B18" showDropDown="0" showInputMessage="0" showErrorMessage="0" allowBlank="1" type="list">
      <formula1>"P1 — Critique,P2 — Haute,P3 — Moyenne,P4 — Basse"</formula1>
    </dataValidation>
    <dataValidation sqref="P18" showDropDown="0" showInputMessage="0" showErrorMessage="0" allowBlank="1" type="list">
      <formula1>"Production,Preprod,Local"</formula1>
    </dataValidation>
    <dataValidation sqref="I19" showDropDown="0" showInputMessage="0" showErrorMessage="0" allowBlank="1" type="list">
      <formula1>"✅ Passé,❌ Échoué,⚠️ Bloqué,▶️ En cours,⬜ Non exécuté"</formula1>
    </dataValidation>
    <dataValidation sqref="B19" showDropDown="0" showInputMessage="0" showErrorMessage="0" allowBlank="1" type="list">
      <formula1>"P1 — Critique,P2 — Haute,P3 — Moyenne,P4 — Basse"</formula1>
    </dataValidation>
    <dataValidation sqref="P19" showDropDown="0" showInputMessage="0" showErrorMessage="0" allowBlank="1" type="list">
      <formula1>"Production,Preprod,Local"</formula1>
    </dataValidation>
    <dataValidation sqref="I20" showDropDown="0" showInputMessage="0" showErrorMessage="0" allowBlank="1" type="list">
      <formula1>"✅ Passé,❌ Échoué,⚠️ Bloqué,▶️ En cours,⬜ Non exécuté"</formula1>
    </dataValidation>
    <dataValidation sqref="B20" showDropDown="0" showInputMessage="0" showErrorMessage="0" allowBlank="1" type="list">
      <formula1>"P1 — Critique,P2 — Haute,P3 — Moyenne,P4 — Basse"</formula1>
    </dataValidation>
    <dataValidation sqref="P20" showDropDown="0" showInputMessage="0" showErrorMessage="0" allowBlank="1" type="list">
      <formula1>"Production,Preprod,Local"</formula1>
    </dataValidation>
    <dataValidation sqref="I21:I31" showDropDown="0" showInputMessage="0" showErrorMessage="0" allowBlank="1" type="list">
      <formula1>"✅ Passé,❌ Échoué,⚠️ Bloqué,▶️ En cours,⬜ Non exécuté"</formula1>
    </dataValidation>
    <dataValidation sqref="B21:B31" showDropDown="0" showInputMessage="0" showErrorMessage="0" allowBlank="1" type="list">
      <formula1>"P1 — Critique,P2 — Haute,P3 — Moyenne,P4 — Basse"</formula1>
    </dataValidation>
    <dataValidation sqref="P21:P31" showDropDown="0" showInputMessage="0" showErrorMessage="0" allowBlank="1" type="list">
      <formula1>"Production,Preprod,Local"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38" customWidth="1" min="3" max="3"/>
    <col width="32" customWidth="1" min="4" max="4"/>
    <col width="30" customWidth="1" min="5" max="5"/>
    <col width="40" customWidth="1" min="6" max="6"/>
    <col width="38" customWidth="1" min="7" max="7"/>
    <col width="38" customWidth="1" min="8" max="8"/>
    <col width="18" customWidth="1" min="9" max="9"/>
    <col width="16" customWidth="1" min="10" max="10"/>
    <col width="13" customWidth="1" min="11" max="11"/>
    <col width="12" customWidth="1" min="12" max="12"/>
    <col width="24" customWidth="1" min="13" max="13"/>
    <col width="36" customWidth="1" min="14" max="14"/>
    <col width="10" customWidth="1" min="15" max="15"/>
    <col width="12" customWidth="1" min="16" max="16"/>
  </cols>
  <sheetData>
    <row r="1" ht="26" customHeight="1">
      <c r="A1" s="46" t="inlineStr">
        <is>
          <t xml:space="preserve">  PORTAIL SUPER ADMIN  ·  39 scénarios</t>
        </is>
      </c>
    </row>
    <row r="2" ht="22" customHeight="1">
      <c r="A2" s="39" t="inlineStr">
        <is>
          <t>ID Test</t>
        </is>
      </c>
      <c r="B2" s="39" t="inlineStr">
        <is>
          <t>Priorité</t>
        </is>
      </c>
      <c r="C2" s="39" t="inlineStr">
        <is>
          <t>Titre du scénario</t>
        </is>
      </c>
      <c r="D2" s="39" t="inlineStr">
        <is>
          <t>Description / Contexte</t>
        </is>
      </c>
      <c r="E2" s="39" t="inlineStr">
        <is>
          <t>Prérequis / Données</t>
        </is>
      </c>
      <c r="F2" s="39" t="inlineStr">
        <is>
          <t>Étapes détaillées</t>
        </is>
      </c>
      <c r="G2" s="39" t="inlineStr">
        <is>
          <t>Résultat attendu</t>
        </is>
      </c>
      <c r="H2" s="39" t="inlineStr">
        <is>
          <t>Résultat obtenu</t>
        </is>
      </c>
      <c r="I2" s="39" t="inlineStr">
        <is>
          <t>Statut</t>
        </is>
      </c>
      <c r="J2" s="39" t="inlineStr">
        <is>
          <t>Testeur</t>
        </is>
      </c>
      <c r="K2" s="39" t="inlineStr">
        <is>
          <t>Date test</t>
        </is>
      </c>
      <c r="L2" s="39" t="inlineStr">
        <is>
          <t>Durée (min)</t>
        </is>
      </c>
      <c r="M2" s="39" t="inlineStr">
        <is>
          <t>Ticket / Requalification</t>
        </is>
      </c>
      <c r="N2" s="39" t="inlineStr">
        <is>
          <t>Commentaire / Amélioration</t>
        </is>
      </c>
      <c r="O2" s="39" t="inlineStr">
        <is>
          <t>Sprint</t>
        </is>
      </c>
      <c r="P2" s="39" t="inlineStr">
        <is>
          <t>Env.</t>
        </is>
      </c>
    </row>
    <row r="3" ht="58" customHeight="1">
      <c r="A3" s="47" t="inlineStr">
        <is>
          <t>PLT-001</t>
        </is>
      </c>
      <c r="B3" s="40" t="inlineStr">
        <is>
          <t>P1 — Critique</t>
        </is>
      </c>
      <c r="C3" s="41" t="inlineStr">
        <is>
          <t>KPIs plateforme corrects</t>
        </is>
      </c>
      <c r="D3" s="41" t="inlineStr">
        <is>
          <t>Dashboard /platform/dashboard affiche tenants actifs, trials, MRR</t>
        </is>
      </c>
      <c r="E3" s="41" t="inlineStr">
        <is>
          <t>2+ tenants seedés</t>
        </is>
      </c>
      <c r="F3" s="41" t="inlineStr">
        <is>
          <t>1. Connecter superadmin
2. Observer KPI cards</t>
        </is>
      </c>
      <c r="G3" s="41" t="inlineStr">
        <is>
          <t>Valeurs cohérentes avec la base (ex: 3 tenants actifs = 3 affiché)</t>
        </is>
      </c>
      <c r="H3" s="41" t="inlineStr">
        <is>
          <t>KPIs dashboard plateforme {actifs, trial, suspendus, total} parfaitement coherents avec la liste reelle des tenants recomptee par statut. Issus d'une vraie requete count(*) FILTER (status=...) sur platform.tenants, aucune valeur en dur.</t>
        </is>
      </c>
      <c r="I3" s="42" t="inlineStr">
        <is>
          <t>✅ Passé</t>
        </is>
      </c>
      <c r="J3" s="41" t="inlineStr">
        <is>
          <t>Agents IA + live (super_admin)</t>
        </is>
      </c>
      <c r="K3" s="41" t="inlineStr">
        <is>
          <t>23/06/2026</t>
        </is>
      </c>
      <c r="L3" s="41" t="inlineStr"/>
      <c r="M3" s="41" t="inlineStr"/>
      <c r="N3" s="41" t="inlineStr"/>
      <c r="O3" s="41" t="inlineStr">
        <is>
          <t>Sprint 1</t>
        </is>
      </c>
      <c r="P3" s="41" t="inlineStr">
        <is>
          <t>Production</t>
        </is>
      </c>
    </row>
    <row r="4" ht="58" customHeight="1">
      <c r="A4" s="47" t="inlineStr">
        <is>
          <t>PLT-002</t>
        </is>
      </c>
      <c r="B4" s="40" t="inlineStr">
        <is>
          <t>P1 — Critique</t>
        </is>
      </c>
      <c r="C4" s="43" t="inlineStr">
        <is>
          <t>Création tenant — wizard 3 étapes</t>
        </is>
      </c>
      <c r="D4" s="43" t="inlineStr">
        <is>
          <t>Créer un nouveau tenant via le formulaire</t>
        </is>
      </c>
      <c r="E4" s="43" t="inlineStr">
        <is>
          <t>Super admin connecté</t>
        </is>
      </c>
      <c r="F4" s="43" t="inlineStr">
        <is>
          <t>1. /platform/tenants/new
2. Étape 1: nom, slug, plan, secteur, ville
3. Étape 2: admin email/prénom/nom
4. Étape 3: couleurs</t>
        </is>
      </c>
      <c r="G4" s="43" t="inlineStr">
        <is>
          <t>Tenant créé, schema PostgreSQL provisionné, email admin envoyé, tempPassword affiché</t>
        </is>
      </c>
      <c r="H4" s="41" t="inlineStr">
        <is>
          <t>POST /platform/tenants -&gt; 201, data {id, slug, schemaName=tenant_&lt;slug&gt;, planType} + tempPassword (12c) + adminEmail ; schema PG provisionne (toutes les tables creees, GET /tenants/{id}=200) ; max_users/max_employees selon plan ; email admin non bloquant (.catch).</t>
        </is>
      </c>
      <c r="I4" s="42" t="inlineStr">
        <is>
          <t>✅ Passé</t>
        </is>
      </c>
      <c r="J4" s="41" t="inlineStr">
        <is>
          <t>Agents IA + live (super_admin)</t>
        </is>
      </c>
      <c r="K4" s="41" t="inlineStr">
        <is>
          <t>23/06/2026</t>
        </is>
      </c>
      <c r="L4" s="43" t="inlineStr"/>
      <c r="M4" s="43" t="inlineStr"/>
      <c r="N4" s="43" t="inlineStr"/>
      <c r="O4" s="43" t="inlineStr">
        <is>
          <t>Sprint 1</t>
        </is>
      </c>
      <c r="P4" s="43" t="inlineStr">
        <is>
          <t>Production</t>
        </is>
      </c>
    </row>
    <row r="5" ht="58" customHeight="1">
      <c r="A5" s="47" t="inlineStr">
        <is>
          <t>PLT-003</t>
        </is>
      </c>
      <c r="B5" s="44" t="inlineStr">
        <is>
          <t>P2 — Haute</t>
        </is>
      </c>
      <c r="C5" s="41" t="inlineStr">
        <is>
          <t>Slug auto-généré depuis le nom</t>
        </is>
      </c>
      <c r="D5" s="41" t="inlineStr">
        <is>
          <t>Le slug se pré-remplit en minuscules-sans-espaces</t>
        </is>
      </c>
      <c r="E5" s="41" t="inlineStr"/>
      <c r="F5" s="41" t="inlineStr">
        <is>
          <t>1. Saisir nom entreprise 'Tech Corp'
2. Observer le champ slug</t>
        </is>
      </c>
      <c r="G5" s="41" t="inlineStr">
        <is>
          <t>Slug = 'tech-corp' (minuscules, tirets, sans caractères spéciaux)</t>
        </is>
      </c>
      <c r="H5" s="41" t="inlineStr">
        <is>
          <t>CORRIGE: le wizard n'auto-generait PAS le slug depuis le nom (2 champs independants, aucune slugification). Ajout slugify('Tech Corp')-&gt;'tech-corp' (minuscules/accents retires/espaces-&gt;tirets) sur saisie du nom, slug restant editable + nettoye a la frappe (PlatformTenantNew.tsx).</t>
        </is>
      </c>
      <c r="I5" s="42" t="inlineStr">
        <is>
          <t>✅ Passé</t>
        </is>
      </c>
      <c r="J5" s="41" t="inlineStr">
        <is>
          <t>Agents IA + correctif</t>
        </is>
      </c>
      <c r="K5" s="41" t="inlineStr">
        <is>
          <t>23/06/2026</t>
        </is>
      </c>
      <c r="L5" s="41" t="inlineStr"/>
      <c r="M5" s="41" t="inlineStr"/>
      <c r="N5" s="41" t="inlineStr"/>
      <c r="O5" s="41" t="inlineStr">
        <is>
          <t>Sprint 1</t>
        </is>
      </c>
      <c r="P5" s="41" t="inlineStr">
        <is>
          <t>Production</t>
        </is>
      </c>
    </row>
    <row r="6" ht="58" customHeight="1">
      <c r="A6" s="47" t="inlineStr">
        <is>
          <t>PLT-004</t>
        </is>
      </c>
      <c r="B6" s="44" t="inlineStr">
        <is>
          <t>P2 — Haute</t>
        </is>
      </c>
      <c r="C6" s="43" t="inlineStr">
        <is>
          <t>Slug déjà existant → erreur</t>
        </is>
      </c>
      <c r="D6" s="43" t="inlineStr"/>
      <c r="E6" s="43" t="inlineStr">
        <is>
          <t>Tenant 'sotra' existant</t>
        </is>
      </c>
      <c r="F6" s="43" t="inlineStr">
        <is>
          <t>1. Créer un tenant avec slug 'sotra'</t>
        </is>
      </c>
      <c r="G6" s="43" t="inlineStr">
        <is>
          <t>Erreur explicite 'Slug déjà utilisé', formulaire non soumis</t>
        </is>
      </c>
      <c r="H6" s="41" t="inlineStr">
        <is>
          <t>POST /platform/tenants slug='sotra' (deja pris) -&gt; HTTP 409 'Le slug "sotra" est deja utilise', aucun tenant cree/duplique. TenantSlugConflictError mappee en 409.</t>
        </is>
      </c>
      <c r="I6" s="42" t="inlineStr">
        <is>
          <t>✅ Passé</t>
        </is>
      </c>
      <c r="J6" s="41" t="inlineStr">
        <is>
          <t>Agents IA + live (super_admin)</t>
        </is>
      </c>
      <c r="K6" s="41" t="inlineStr">
        <is>
          <t>23/06/2026</t>
        </is>
      </c>
      <c r="L6" s="43" t="inlineStr"/>
      <c r="M6" s="43" t="inlineStr"/>
      <c r="N6" s="43" t="inlineStr"/>
      <c r="O6" s="43" t="inlineStr">
        <is>
          <t>Sprint 1</t>
        </is>
      </c>
      <c r="P6" s="43" t="inlineStr">
        <is>
          <t>Production</t>
        </is>
      </c>
    </row>
    <row r="7" ht="58" customHeight="1">
      <c r="A7" s="47" t="inlineStr">
        <is>
          <t>PLT-005</t>
        </is>
      </c>
      <c r="B7" s="44" t="inlineStr">
        <is>
          <t>P2 — Haute</t>
        </is>
      </c>
      <c r="C7" s="41" t="inlineStr">
        <is>
          <t>Seed données démo (seedDemoData)</t>
        </is>
      </c>
      <c r="D7" s="41" t="inlineStr">
        <is>
          <t>Cocher l'option inject démo lors création</t>
        </is>
      </c>
      <c r="E7" s="41" t="inlineStr"/>
      <c r="F7" s="41" t="inlineStr">
        <is>
          <t>1. Wizard création
2. Cocher 'Injecter données de démonstration'
3. Créer</t>
        </is>
      </c>
      <c r="G7" s="41" t="inlineStr">
        <is>
          <t>8 employés, 3 mois de bulletins créés dans le nouveau tenant, non bloquant</t>
        </is>
      </c>
      <c r="H7" s="41" t="inlineStr">
        <is>
          <t>CORRIGE: seedDemoData:true ne produisait AUCUNE donnee (0 employe). Cause: seed-demo.ts desync du schema (gross_salary-&gt;base_salary, pay_period_id-&gt;period_id, total_employee_contributions-&gt;total_cnps_sal, income_tax-&gt;its, pay_periods label/year-&gt;month). INSERT realignes sur le seed principal + VALIDES en direct (rollback). Provisioning lui-meme complet (toutes tables). Non bloquant OK.</t>
        </is>
      </c>
      <c r="I7" s="42" t="inlineStr">
        <is>
          <t>✅ Passé</t>
        </is>
      </c>
      <c r="J7" s="41" t="inlineStr">
        <is>
          <t>Agents IA + correctif</t>
        </is>
      </c>
      <c r="K7" s="41" t="inlineStr">
        <is>
          <t>23/06/2026</t>
        </is>
      </c>
      <c r="L7" s="41" t="inlineStr"/>
      <c r="M7" s="41" t="inlineStr"/>
      <c r="N7" s="41" t="inlineStr"/>
      <c r="O7" s="41" t="inlineStr">
        <is>
          <t>Sprint 1</t>
        </is>
      </c>
      <c r="P7" s="41" t="inlineStr">
        <is>
          <t>Production</t>
        </is>
      </c>
    </row>
    <row r="8" ht="58" customHeight="1">
      <c r="A8" s="47" t="inlineStr">
        <is>
          <t>PLT-006</t>
        </is>
      </c>
      <c r="B8" s="40" t="inlineStr">
        <is>
          <t>P1 — Critique</t>
        </is>
      </c>
      <c r="C8" s="43" t="inlineStr">
        <is>
          <t>tempPassword retourné dans réponse</t>
        </is>
      </c>
      <c r="D8" s="43" t="inlineStr">
        <is>
          <t>En cas d'échec email, le mdp reste accessible</t>
        </is>
      </c>
      <c r="E8" s="43" t="inlineStr"/>
      <c r="F8" s="43" t="inlineStr">
        <is>
          <t>1. Créer un tenant
2. Observer la réponse écran de confirmation</t>
        </is>
      </c>
      <c r="G8" s="43" t="inlineStr">
        <is>
          <t>Mot de passe temporaire affiché dans l'encart de succès</t>
        </is>
      </c>
      <c r="H8" s="41" t="inlineStr">
        <is>
          <t>Apres creation tenant, l'encart de succes affiche adminEmail + tempPassword (bloc code copiable) ; l'API renvoie tempPassword dans le JSON 201. Confirme en live (PLT-002/005).</t>
        </is>
      </c>
      <c r="I8" s="42" t="inlineStr">
        <is>
          <t>✅ Passé</t>
        </is>
      </c>
      <c r="J8" s="41" t="inlineStr">
        <is>
          <t>Agents IA + live (super_admin)</t>
        </is>
      </c>
      <c r="K8" s="41" t="inlineStr">
        <is>
          <t>23/06/2026</t>
        </is>
      </c>
      <c r="L8" s="43" t="inlineStr"/>
      <c r="M8" s="43" t="inlineStr"/>
      <c r="N8" s="43" t="inlineStr"/>
      <c r="O8" s="43" t="inlineStr">
        <is>
          <t>Sprint 1</t>
        </is>
      </c>
      <c r="P8" s="43" t="inlineStr">
        <is>
          <t>Production</t>
        </is>
      </c>
    </row>
    <row r="9" ht="58" customHeight="1">
      <c r="A9" s="47" t="inlineStr">
        <is>
          <t>PLT-007</t>
        </is>
      </c>
      <c r="B9" s="40" t="inlineStr">
        <is>
          <t>P1 — Critique</t>
        </is>
      </c>
      <c r="C9" s="41" t="inlineStr">
        <is>
          <t>Liste tenants paginée</t>
        </is>
      </c>
      <c r="D9" s="41" t="inlineStr">
        <is>
          <t>Tableau /platform/tenants</t>
        </is>
      </c>
      <c r="E9" s="41" t="inlineStr">
        <is>
          <t>3+ tenants</t>
        </is>
      </c>
      <c r="F9" s="41" t="inlineStr">
        <is>
          <t>1. Accéder /platform/tenants</t>
        </is>
      </c>
      <c r="G9" s="41" t="inlineStr">
        <is>
          <t>Tableau avec nom, plan, ville, statut, nb users, nb employés, actions</t>
        </is>
      </c>
      <c r="H9" s="41" t="inlineStr">
        <is>
          <t>CORRIGE: GET /platform/tenants enrichit chaque tenant avec user_count + employee_count REELS (comptes dans son schema) ; colonnes 'Utilisateurs' et 'Employes' (reel/quota) ajoutees a la liste. + pagination existante.</t>
        </is>
      </c>
      <c r="I9" s="42" t="inlineStr">
        <is>
          <t>✅ Passé</t>
        </is>
      </c>
      <c r="J9" s="41" t="inlineStr">
        <is>
          <t>Agents IA + correctif</t>
        </is>
      </c>
      <c r="K9" s="41" t="inlineStr">
        <is>
          <t>23/06/2026</t>
        </is>
      </c>
      <c r="L9" s="41" t="inlineStr"/>
      <c r="M9" s="41" t="inlineStr"/>
      <c r="N9" s="41" t="inlineStr"/>
      <c r="O9" s="41" t="inlineStr">
        <is>
          <t>Sprint 1</t>
        </is>
      </c>
      <c r="P9" s="41" t="inlineStr">
        <is>
          <t>Production</t>
        </is>
      </c>
    </row>
    <row r="10" ht="58" customHeight="1">
      <c r="A10" s="47" t="inlineStr">
        <is>
          <t>PLT-008</t>
        </is>
      </c>
      <c r="B10" s="44" t="inlineStr">
        <is>
          <t>P2 — Haute</t>
        </is>
      </c>
      <c r="C10" s="43" t="inlineStr">
        <is>
          <t>Filtrage tenants par statut</t>
        </is>
      </c>
      <c r="D10" s="43" t="inlineStr">
        <is>
          <t>Filtre active/trial/suspended</t>
        </is>
      </c>
      <c r="E10" s="43" t="inlineStr"/>
      <c r="F10" s="43" t="inlineStr">
        <is>
          <t>1. Utiliser le filtre statut</t>
        </is>
      </c>
      <c r="G10" s="43" t="inlineStr">
        <is>
          <t>Tableau filtré correctement</t>
        </is>
      </c>
      <c r="H10" s="41" t="inlineStr">
        <is>
          <t>CORRIGE: ajout d'un selecteur de statut (Tous/Actifs/Trial/Suspendus) cote UI qui alimente la requete ?status= (le backend filtrait deja, parametre/anti-injection). Le tableau se filtre desormais.</t>
        </is>
      </c>
      <c r="I10" s="42" t="inlineStr">
        <is>
          <t>✅ Passé</t>
        </is>
      </c>
      <c r="J10" s="41" t="inlineStr">
        <is>
          <t>Agents IA + correctif</t>
        </is>
      </c>
      <c r="K10" s="41" t="inlineStr">
        <is>
          <t>23/06/2026</t>
        </is>
      </c>
      <c r="L10" s="43" t="inlineStr"/>
      <c r="M10" s="43" t="inlineStr"/>
      <c r="N10" s="43" t="inlineStr"/>
      <c r="O10" s="43" t="inlineStr">
        <is>
          <t>Sprint 1</t>
        </is>
      </c>
      <c r="P10" s="43" t="inlineStr">
        <is>
          <t>Production</t>
        </is>
      </c>
    </row>
    <row r="11" ht="58" customHeight="1">
      <c r="A11" s="47" t="inlineStr">
        <is>
          <t>PLT-009</t>
        </is>
      </c>
      <c r="B11" s="40" t="inlineStr">
        <is>
          <t>P1 — Critique</t>
        </is>
      </c>
      <c r="C11" s="41" t="inlineStr">
        <is>
          <t>Détail tenant — 4 onglets</t>
        </is>
      </c>
      <c r="D11" s="41" t="inlineStr">
        <is>
          <t>Apparence, Plan, Modules, Données</t>
        </is>
      </c>
      <c r="E11" s="41" t="inlineStr"/>
      <c r="F11" s="41" t="inlineStr">
        <is>
          <t>1. Cliquer sur un tenant dans la liste</t>
        </is>
      </c>
      <c r="G11" s="41" t="inlineStr">
        <is>
          <t>4 onglets affichés et fonctionnels</t>
        </is>
      </c>
      <c r="H11" s="41" t="inlineStr">
        <is>
          <t>CORRIGE: page detail refondue en 4 ONGLETS (Apparence, Plan, Modules, Donnees). Nouvel onglet Donnees = stats (users/employes/bulletins) + export RGPD (JSON) + suppression definitive (DELETE avec confirmation du slug + DROP schema). 3 endpoints backend ajoutes.</t>
        </is>
      </c>
      <c r="I11" s="42" t="inlineStr">
        <is>
          <t>✅ Passé</t>
        </is>
      </c>
      <c r="J11" s="41" t="inlineStr">
        <is>
          <t>Agents IA + correctif</t>
        </is>
      </c>
      <c r="K11" s="41" t="inlineStr">
        <is>
          <t>23/06/2026</t>
        </is>
      </c>
      <c r="L11" s="41" t="inlineStr"/>
      <c r="M11" s="41" t="inlineStr"/>
      <c r="N11" s="41" t="inlineStr"/>
      <c r="O11" s="41" t="inlineStr">
        <is>
          <t>Sprint 1</t>
        </is>
      </c>
      <c r="P11" s="41" t="inlineStr">
        <is>
          <t>Production</t>
        </is>
      </c>
    </row>
    <row r="12" ht="58" customHeight="1">
      <c r="A12" s="47" t="inlineStr">
        <is>
          <t>PLT-010</t>
        </is>
      </c>
      <c r="B12" s="44" t="inlineStr">
        <is>
          <t>P2 — Haute</t>
        </is>
      </c>
      <c r="C12" s="43" t="inlineStr">
        <is>
          <t>Modification apparence — couleur primaire</t>
        </is>
      </c>
      <c r="D12" s="43" t="inlineStr">
        <is>
          <t>Changer couleur et observer preview live</t>
        </is>
      </c>
      <c r="E12" s="43" t="inlineStr"/>
      <c r="F12" s="43" t="inlineStr">
        <is>
          <t>1. Onglet Apparence
2. Changer couleur primaire
3. Observer prévisualisation
4. Sauvegarder</t>
        </is>
      </c>
      <c r="G12" s="43" t="inlineStr">
        <is>
          <t>Couleur mise à jour, preview reflète le changement immédiatement</t>
        </is>
      </c>
      <c r="H12" s="41" t="inlineStr">
        <is>
          <t>CORRIGE (2 volets): (1) FIX WAF CRITIQUE - CRS 911100 bloquait PATCH/PUT/DELETE -&gt; debloque, PATCH /tenants/:id primary_color persiste (200). (2) onglet Apparence du detail rendu EDITABLE : color pickers primaire/secondaire + previsualisation live + sauvegarde (PATCH). Avant: lecture seule.</t>
        </is>
      </c>
      <c r="I12" s="42" t="inlineStr">
        <is>
          <t>✅ Passé</t>
        </is>
      </c>
      <c r="J12" s="41" t="inlineStr">
        <is>
          <t>Agents IA + correctif</t>
        </is>
      </c>
      <c r="K12" s="41" t="inlineStr">
        <is>
          <t>23/06/2026</t>
        </is>
      </c>
      <c r="L12" s="43" t="inlineStr"/>
      <c r="M12" s="43" t="inlineStr"/>
      <c r="N12" s="43" t="inlineStr"/>
      <c r="O12" s="43" t="inlineStr">
        <is>
          <t>Sprint 1</t>
        </is>
      </c>
      <c r="P12" s="43" t="inlineStr">
        <is>
          <t>Production</t>
        </is>
      </c>
    </row>
    <row r="13" ht="58" customHeight="1">
      <c r="A13" s="47" t="inlineStr">
        <is>
          <t>PLT-011</t>
        </is>
      </c>
      <c r="B13" s="44" t="inlineStr">
        <is>
          <t>P2 — Haute</t>
        </is>
      </c>
      <c r="C13" s="41" t="inlineStr">
        <is>
          <t>Modification plan tenant</t>
        </is>
      </c>
      <c r="D13" s="41" t="inlineStr">
        <is>
          <t>Changer de trial → business</t>
        </is>
      </c>
      <c r="E13" s="41" t="inlineStr"/>
      <c r="F13" s="41" t="inlineStr">
        <is>
          <t>1. Onglet Plan
2. Sélectionner Business
3. Sauvegarder</t>
        </is>
      </c>
      <c r="G13" s="41" t="inlineStr">
        <is>
          <t>Plan mis à jour dans platform.tenants, maxUsers/maxEmployees ajustés selon PLAN_DEFAULTS</t>
        </is>
      </c>
      <c r="H13" s="41" t="inlineStr">
        <is>
          <t>CORRIGE: changer le plan n'ajustait pas les quotas + plan non editable. Le PATCH /tenants/:id reajuste max_users/max_employees selon PLAN_DEFAULTS quand plan_type change ; selecteur de plan ajoute a l'onglet Plan. (Live avant: business gardait 30/30 -&gt; desormais 100/150.)</t>
        </is>
      </c>
      <c r="I13" s="42" t="inlineStr">
        <is>
          <t>✅ Passé</t>
        </is>
      </c>
      <c r="J13" s="41" t="inlineStr">
        <is>
          <t>Agents IA + correctif</t>
        </is>
      </c>
      <c r="K13" s="41" t="inlineStr">
        <is>
          <t>23/06/2026</t>
        </is>
      </c>
      <c r="L13" s="41" t="inlineStr"/>
      <c r="M13" s="41" t="inlineStr"/>
      <c r="N13" s="41" t="inlineStr"/>
      <c r="O13" s="41" t="inlineStr">
        <is>
          <t>Sprint 1</t>
        </is>
      </c>
      <c r="P13" s="41" t="inlineStr">
        <is>
          <t>Production</t>
        </is>
      </c>
    </row>
    <row r="14" ht="58" customHeight="1">
      <c r="A14" s="47" t="inlineStr">
        <is>
          <t>PLT-012</t>
        </is>
      </c>
      <c r="B14" s="44" t="inlineStr">
        <is>
          <t>P2 — Haute</t>
        </is>
      </c>
      <c r="C14" s="43" t="inlineStr">
        <is>
          <t>Suspension tenant</t>
        </is>
      </c>
      <c r="D14" s="43" t="inlineStr">
        <is>
          <t>Tenant passé en statut suspended</t>
        </is>
      </c>
      <c r="E14" s="43" t="inlineStr"/>
      <c r="F14" s="43" t="inlineStr">
        <is>
          <t>1. Onglet Plan → Suspendre</t>
        </is>
      </c>
      <c r="G14" s="43" t="inlineStr">
        <is>
          <t>Status = suspended, login des users du tenant retourne erreur</t>
        </is>
      </c>
      <c r="H14" s="41" t="inlineStr">
        <is>
          <t>Suspension tenant OK (live): POST /suspend -&gt; status=suspended ; login d'un user du tenant renvoie {error:message,offline:true} (bloque). Dialogue de message hors-ligne cote UI.</t>
        </is>
      </c>
      <c r="I14" s="42" t="inlineStr">
        <is>
          <t>✅ Passé</t>
        </is>
      </c>
      <c r="J14" s="41" t="inlineStr">
        <is>
          <t>Agents IA + live (super_admin)</t>
        </is>
      </c>
      <c r="K14" s="41" t="inlineStr">
        <is>
          <t>23/06/2026</t>
        </is>
      </c>
      <c r="L14" s="43" t="inlineStr"/>
      <c r="M14" s="43" t="inlineStr"/>
      <c r="N14" s="43" t="inlineStr"/>
      <c r="O14" s="43" t="inlineStr">
        <is>
          <t>Sprint 1</t>
        </is>
      </c>
      <c r="P14" s="43" t="inlineStr">
        <is>
          <t>Production</t>
        </is>
      </c>
    </row>
    <row r="15" ht="58" customHeight="1">
      <c r="A15" s="47" t="inlineStr">
        <is>
          <t>PLT-013</t>
        </is>
      </c>
      <c r="B15" s="44" t="inlineStr">
        <is>
          <t>P2 — Haute</t>
        </is>
      </c>
      <c r="C15" s="41" t="inlineStr">
        <is>
          <t>Réactivation tenant</t>
        </is>
      </c>
      <c r="D15" s="41" t="inlineStr"/>
      <c r="E15" s="41" t="inlineStr">
        <is>
          <t>Tenant suspendu</t>
        </is>
      </c>
      <c r="F15" s="41" t="inlineStr">
        <is>
          <t>1. Onglet Plan → Réactiver</t>
        </is>
      </c>
      <c r="G15" s="41" t="inlineStr">
        <is>
          <t>Status = active, users peuvent se reconnecter</t>
        </is>
      </c>
      <c r="H15" s="41" t="inlineStr">
        <is>
          <t>Reactivation OK (live): POST /reactivate -&gt; status=active, offline_message=NULL, cache invalide ; le login du user du tenant refonctionne (200).</t>
        </is>
      </c>
      <c r="I15" s="42" t="inlineStr">
        <is>
          <t>✅ Passé</t>
        </is>
      </c>
      <c r="J15" s="41" t="inlineStr">
        <is>
          <t>Agents IA + live (super_admin)</t>
        </is>
      </c>
      <c r="K15" s="41" t="inlineStr">
        <is>
          <t>23/06/2026</t>
        </is>
      </c>
      <c r="L15" s="41" t="inlineStr"/>
      <c r="M15" s="41" t="inlineStr"/>
      <c r="N15" s="41" t="inlineStr"/>
      <c r="O15" s="41" t="inlineStr">
        <is>
          <t>Sprint 1</t>
        </is>
      </c>
      <c r="P15" s="41" t="inlineStr">
        <is>
          <t>Production</t>
        </is>
      </c>
    </row>
    <row r="16" ht="58" customHeight="1">
      <c r="A16" s="47" t="inlineStr">
        <is>
          <t>PLT-014</t>
        </is>
      </c>
      <c r="B16" s="44" t="inlineStr">
        <is>
          <t>P2 — Haute</t>
        </is>
      </c>
      <c r="C16" s="43" t="inlineStr">
        <is>
          <t>Consulter utilisateurs tenant</t>
        </is>
      </c>
      <c r="D16" s="43" t="inlineStr">
        <is>
          <t>Lecture seule des users d'un tenant</t>
        </is>
      </c>
      <c r="E16" s="43" t="inlineStr"/>
      <c r="F16" s="43" t="inlineStr">
        <is>
          <t>1. /platform/tenants/:id/users</t>
        </is>
      </c>
      <c r="G16" s="43" t="inlineStr">
        <is>
          <t>Liste avec email, rôle, statut, date création — pas de création depuis ici</t>
        </is>
      </c>
      <c r="H16" s="41" t="inlineStr">
        <is>
          <t>CORRIGE: aucune consultation des utilisateurs du tenant (endpoint + page absents). Ajout GET /platform/tenants/:id/users (email, role, statut, date - lecture seule) + liste dans l'onglet Donnees (sans creation depuis cette vue).</t>
        </is>
      </c>
      <c r="I16" s="42" t="inlineStr">
        <is>
          <t>✅ Passé</t>
        </is>
      </c>
      <c r="J16" s="41" t="inlineStr">
        <is>
          <t>Agents IA + correctif</t>
        </is>
      </c>
      <c r="K16" s="41" t="inlineStr">
        <is>
          <t>23/06/2026</t>
        </is>
      </c>
      <c r="L16" s="43" t="inlineStr"/>
      <c r="M16" s="43" t="inlineStr"/>
      <c r="N16" s="43" t="inlineStr"/>
      <c r="O16" s="43" t="inlineStr">
        <is>
          <t>Sprint 1</t>
        </is>
      </c>
      <c r="P16" s="43" t="inlineStr">
        <is>
          <t>Production</t>
        </is>
      </c>
    </row>
    <row r="17" ht="58" customHeight="1">
      <c r="A17" s="47" t="inlineStr">
        <is>
          <t>PLT-015</t>
        </is>
      </c>
      <c r="B17" s="44" t="inlineStr">
        <is>
          <t>P2 — Haute</t>
        </is>
      </c>
      <c r="C17" s="41" t="inlineStr">
        <is>
          <t>Suspension utilisateur tenant</t>
        </is>
      </c>
      <c r="D17" s="41" t="inlineStr"/>
      <c r="E17" s="41" t="inlineStr"/>
      <c r="F17" s="41" t="inlineStr">
        <is>
          <t>1. Trouver un utilisateur
2. Cliquer Suspendre</t>
        </is>
      </c>
      <c r="G17" s="41" t="inlineStr">
        <is>
          <t>is_active = false, cet user ne peut plus se connecter</t>
        </is>
      </c>
      <c r="H17" s="41" t="inlineStr">
        <is>
          <t>CORRIGE: impossible de suspendre un utilisateur individuel (seul le tenant entier). Ajout PATCH /platform/tenants/:id/users/:userId {isActive} (UPDATE users.is_active dans le schema tenant) + boutons Suspendre/Reactiver ; le blocage login is_active=false existait deja cote auth.</t>
        </is>
      </c>
      <c r="I17" s="42" t="inlineStr">
        <is>
          <t>✅ Passé</t>
        </is>
      </c>
      <c r="J17" s="41" t="inlineStr">
        <is>
          <t>Agents IA + correctif</t>
        </is>
      </c>
      <c r="K17" s="41" t="inlineStr">
        <is>
          <t>23/06/2026</t>
        </is>
      </c>
      <c r="L17" s="41" t="inlineStr"/>
      <c r="M17" s="41" t="inlineStr"/>
      <c r="N17" s="41" t="inlineStr"/>
      <c r="O17" s="41" t="inlineStr">
        <is>
          <t>Sprint 1</t>
        </is>
      </c>
      <c r="P17" s="41" t="inlineStr">
        <is>
          <t>Production</t>
        </is>
      </c>
    </row>
    <row r="18" ht="58" customHeight="1">
      <c r="A18" s="47" t="inlineStr">
        <is>
          <t>PLT-016</t>
        </is>
      </c>
      <c r="B18" s="44" t="inlineStr">
        <is>
          <t>P2 — Haute</t>
        </is>
      </c>
      <c r="C18" s="43" t="inlineStr">
        <is>
          <t>Reset admin tenant</t>
        </is>
      </c>
      <c r="D18" s="43" t="inlineStr">
        <is>
          <t>Regénérer un mdp temporaire pour l'admin</t>
        </is>
      </c>
      <c r="E18" s="43" t="inlineStr"/>
      <c r="F18" s="43" t="inlineStr">
        <is>
          <t>1. POST /platform/tenants/:id/reset-admin</t>
        </is>
      </c>
      <c r="G18" s="43" t="inlineStr">
        <is>
          <t>Nouveau tempPassword retourné + email envoyé</t>
        </is>
      </c>
      <c r="H18" s="41" t="inlineStr">
        <is>
          <t>Live: POST /platform/tenants/:id/reset-admin -&gt; adminEmail + tempPassword (12c) ; bcrypt 12, is_active=true, email non bloquant. Bouton dans l'onglet Plan + affichage tempPassword.</t>
        </is>
      </c>
      <c r="I18" s="42" t="inlineStr">
        <is>
          <t>✅ Passé</t>
        </is>
      </c>
      <c r="J18" s="41" t="inlineStr">
        <is>
          <t>Agents IA + live (super_admin)</t>
        </is>
      </c>
      <c r="K18" s="41" t="inlineStr">
        <is>
          <t>23/06/2026</t>
        </is>
      </c>
      <c r="L18" s="43" t="inlineStr"/>
      <c r="M18" s="43" t="inlineStr"/>
      <c r="N18" s="43" t="inlineStr"/>
      <c r="O18" s="43" t="inlineStr">
        <is>
          <t>Sprint 1</t>
        </is>
      </c>
      <c r="P18" s="43" t="inlineStr">
        <is>
          <t>Production</t>
        </is>
      </c>
    </row>
    <row r="19" ht="58" customHeight="1">
      <c r="A19" s="47" t="inlineStr">
        <is>
          <t>PLT-017</t>
        </is>
      </c>
      <c r="B19" s="45" t="inlineStr">
        <is>
          <t>P3 — Moyenne</t>
        </is>
      </c>
      <c r="C19" s="41" t="inlineStr">
        <is>
          <t>Diagnostic admin-status</t>
        </is>
      </c>
      <c r="D19" s="41" t="inlineStr">
        <is>
          <t>GET /platform/tenants/:id/admin-status</t>
        </is>
      </c>
      <c r="E19" s="41" t="inlineStr"/>
      <c r="F19" s="41" t="inlineStr">
        <is>
          <t>1. Appeler l'endpoint via Swagger</t>
        </is>
      </c>
      <c r="G19" s="41" t="inlineStr">
        <is>
          <t>JSON avec schemaExists, adminUser.isActive, hasPasswordHash, issue</t>
        </is>
      </c>
      <c r="H19" s="41" t="inlineStr">
        <is>
          <t>Live: GET /platform/tenants/:id/admin-status -&gt; {schemaExists:true, tenantName, adminUser:{is_active, has_hash, mfa_enabled}, issue:null}. Diagnostic complet conforme.</t>
        </is>
      </c>
      <c r="I19" s="42" t="inlineStr">
        <is>
          <t>✅ Passé</t>
        </is>
      </c>
      <c r="J19" s="41" t="inlineStr">
        <is>
          <t>Agents IA + live (super_admin)</t>
        </is>
      </c>
      <c r="K19" s="41" t="inlineStr">
        <is>
          <t>23/06/2026</t>
        </is>
      </c>
      <c r="L19" s="41" t="inlineStr"/>
      <c r="M19" s="41" t="inlineStr"/>
      <c r="N19" s="41" t="inlineStr"/>
      <c r="O19" s="41" t="inlineStr">
        <is>
          <t>Sprint 1</t>
        </is>
      </c>
      <c r="P19" s="41" t="inlineStr">
        <is>
          <t>Production</t>
        </is>
      </c>
    </row>
    <row r="20" ht="58" customHeight="1">
      <c r="A20" s="47" t="inlineStr">
        <is>
          <t>PLT-018</t>
        </is>
      </c>
      <c r="B20" s="40" t="inlineStr">
        <is>
          <t>P1 — Critique</t>
        </is>
      </c>
      <c r="C20" s="43" t="inlineStr">
        <is>
          <t>Logs activité cross-tenant</t>
        </is>
      </c>
      <c r="D20" s="43" t="inlineStr">
        <is>
          <t>/platform/logs</t>
        </is>
      </c>
      <c r="E20" s="43" t="inlineStr"/>
      <c r="F20" s="43" t="inlineStr">
        <is>
          <t>1. Accéder /platform/logs</t>
        </is>
      </c>
      <c r="G20" s="43" t="inlineStr">
        <is>
          <t>Logs triés par date, avec tenant, user, action, IP</t>
        </is>
      </c>
      <c r="H20" s="41" t="inlineStr">
        <is>
          <t>CORRIGE: l'audit plateforme etait SILENCIEUSEMENT PERDU (auditLogPlatform ecrivait dans platform.audit_log, table jamais creee, .catch() avalait l'echec) + page /platform/logs inexistante. Ajout table platform.audit_log (migrations, OWASP A09) + GET /logs (jointure entity_id, pagination hasMore) + page PlatformLogs (date/tenant/action/entite/user/IP) + route + sidebar + i18n.</t>
        </is>
      </c>
      <c r="I20" s="42" t="inlineStr">
        <is>
          <t>✅ Passé</t>
        </is>
      </c>
      <c r="J20" s="41" t="inlineStr">
        <is>
          <t>Agents IA + correctif</t>
        </is>
      </c>
      <c r="K20" s="41" t="inlineStr">
        <is>
          <t>23/06/2026</t>
        </is>
      </c>
      <c r="L20" s="43" t="inlineStr"/>
      <c r="M20" s="43" t="inlineStr"/>
      <c r="N20" s="43" t="inlineStr"/>
      <c r="O20" s="43" t="inlineStr">
        <is>
          <t>Sprint 1</t>
        </is>
      </c>
      <c r="P20" s="43" t="inlineStr">
        <is>
          <t>Production</t>
        </is>
      </c>
    </row>
    <row r="21" ht="58" customHeight="1">
      <c r="A21" s="47" t="inlineStr">
        <is>
          <t>PLT-019</t>
        </is>
      </c>
      <c r="B21" s="45" t="inlineStr">
        <is>
          <t>P3 — Moyenne</t>
        </is>
      </c>
      <c r="C21" s="41" t="inlineStr">
        <is>
          <t>Alerte trials expirant &lt; 7 jours</t>
        </is>
      </c>
      <c r="D21" s="41" t="inlineStr">
        <is>
          <t>Dashboard plateforme signale les essais proches de l'expiration</t>
        </is>
      </c>
      <c r="E21" s="41" t="inlineStr">
        <is>
          <t>Tenant trial.endsAt dans &lt; 7j</t>
        </is>
      </c>
      <c r="F21" s="41" t="inlineStr">
        <is>
          <t>1. Observer le panneau alertes du dashboard</t>
        </is>
      </c>
      <c r="G21" s="41" t="inlineStr">
        <is>
          <t>Badge rouge avec le nom du tenant et date d'expiration</t>
        </is>
      </c>
      <c r="H21" s="41" t="inlineStr">
        <is>
          <t>CORRIGE: aucune alerte de trials expirant. GET /platform/dashboard renvoie desormais expiringTrials (status=trial, trial_ends_at &lt; 7j) ; panneau d'alerte rouge (nom tenant + date expiration) ajoute au dashboard super_admin.</t>
        </is>
      </c>
      <c r="I21" s="42" t="inlineStr">
        <is>
          <t>✅ Passé</t>
        </is>
      </c>
      <c r="J21" s="41" t="inlineStr">
        <is>
          <t>Agents IA + correctif</t>
        </is>
      </c>
      <c r="K21" s="41" t="inlineStr">
        <is>
          <t>23/06/2026</t>
        </is>
      </c>
      <c r="L21" s="41" t="inlineStr"/>
      <c r="M21" s="41" t="inlineStr"/>
      <c r="N21" s="41" t="inlineStr"/>
      <c r="O21" s="41" t="inlineStr">
        <is>
          <t>Sprint 1</t>
        </is>
      </c>
      <c r="P21" s="41" t="inlineStr">
        <is>
          <t>Production</t>
        </is>
      </c>
    </row>
    <row r="22" ht="58" customHeight="1">
      <c r="A22" s="47" t="inlineStr">
        <is>
          <t>PLT-020</t>
        </is>
      </c>
      <c r="B22" s="44" t="inlineStr">
        <is>
          <t>P2 — Haute</t>
        </is>
      </c>
      <c r="C22" s="43" t="inlineStr">
        <is>
          <t>Thématisation dynamique au login</t>
        </is>
      </c>
      <c r="D22" s="43" t="inlineStr">
        <is>
          <t>Au login, les couleurs tenant s'appliquent</t>
        </is>
      </c>
      <c r="E22" s="43" t="inlineStr"/>
      <c r="F22" s="43" t="inlineStr">
        <is>
          <t>1. Accéder page login SOTRA
2. Saisir admin@sotra.ci</t>
        </is>
      </c>
      <c r="G22" s="43" t="inlineStr">
        <is>
          <t>Bouton login orange (#E85D04), logo SOTRA visible avant même de se connecter</t>
        </is>
      </c>
      <c r="H22" s="41" t="inlineStr">
        <is>
          <t>CORRIGE (approche ?tenant=slug, choix recette): endpoint PUBLIC GET /public/brand/by-slug/:slug (couleur+logo+nom, tenant suspendu exclu) ; la page login lit le slug depuis ?tenant= (ou sous-domaine) et applique le theme AVANT login (applyTenantTheme exporte) + affiche le logo/nom du tenant. Bouton a la vraie couleur du tenant (plus par coincidence).</t>
        </is>
      </c>
      <c r="I22" s="42" t="inlineStr">
        <is>
          <t>✅ Passé</t>
        </is>
      </c>
      <c r="J22" s="41" t="inlineStr">
        <is>
          <t>Agents IA + correctif</t>
        </is>
      </c>
      <c r="K22" s="41" t="inlineStr">
        <is>
          <t>23/06/2026</t>
        </is>
      </c>
      <c r="L22" s="43" t="inlineStr"/>
      <c r="M22" s="43" t="inlineStr"/>
      <c r="N22" s="43" t="inlineStr"/>
      <c r="O22" s="43" t="inlineStr">
        <is>
          <t>Sprint 1</t>
        </is>
      </c>
      <c r="P22" s="43" t="inlineStr">
        <is>
          <t>Production</t>
        </is>
      </c>
    </row>
    <row r="23" ht="58" customHeight="1">
      <c r="A23" s="47" t="inlineStr">
        <is>
          <t>PLT-021</t>
        </is>
      </c>
      <c r="B23" s="45" t="inlineStr">
        <is>
          <t>P3 — Moyenne</t>
        </is>
      </c>
      <c r="C23" s="41" t="inlineStr">
        <is>
          <t>Graphique croissance tenants 12 mois</t>
        </is>
      </c>
      <c r="D23" s="41" t="inlineStr">
        <is>
          <t>LineChart sur le dashboard plateforme</t>
        </is>
      </c>
      <c r="E23" s="41" t="inlineStr"/>
      <c r="F23" s="41" t="inlineStr">
        <is>
          <t>1. Observer le graphique dashboard plateforme</t>
        </is>
      </c>
      <c r="G23" s="41" t="inlineStr">
        <is>
          <t>Courbe affichée avec données des 12 derniers mois</t>
        </is>
      </c>
      <c r="H23" s="41" t="inlineStr">
        <is>
          <t>CORRIGE: aucun graphique de croissance (backend ni frontend). GET /platform/dashboard renvoie desormais growth (12 mois glissants, count par mois via generate_series + group by created_at) ; LineChart Recharts ajoute au dashboard plateforme.</t>
        </is>
      </c>
      <c r="I23" s="42" t="inlineStr">
        <is>
          <t>✅ Passé</t>
        </is>
      </c>
      <c r="J23" s="41" t="inlineStr">
        <is>
          <t>Agents IA + correctif</t>
        </is>
      </c>
      <c r="K23" s="41" t="inlineStr">
        <is>
          <t>23/06/2026</t>
        </is>
      </c>
      <c r="L23" s="41" t="inlineStr"/>
      <c r="M23" s="41" t="inlineStr"/>
      <c r="N23" s="41" t="inlineStr"/>
      <c r="O23" s="41" t="inlineStr">
        <is>
          <t>Sprint 1</t>
        </is>
      </c>
      <c r="P23" s="41" t="inlineStr">
        <is>
          <t>Production</t>
        </is>
      </c>
    </row>
    <row r="24" ht="58" customHeight="1">
      <c r="A24" s="47" t="inlineStr">
        <is>
          <t>PLT-022</t>
        </is>
      </c>
      <c r="B24" s="44" t="inlineStr">
        <is>
          <t>P2 — Haute</t>
        </is>
      </c>
      <c r="C24" s="43" t="inlineStr">
        <is>
          <t>MRR estimé FCFA</t>
        </is>
      </c>
      <c r="D24" s="43" t="inlineStr">
        <is>
          <t>KPI card affiche le revenu mensuel récurrent estimé</t>
        </is>
      </c>
      <c r="E24" s="43" t="inlineStr"/>
      <c r="F24" s="43" t="inlineStr">
        <is>
          <t>1. Observer KPI dashboard plateforme</t>
        </is>
      </c>
      <c r="G24" s="43" t="inlineStr">
        <is>
          <t>Valeur en FCFA calculée selon plan × tarif indicatif</t>
        </is>
      </c>
      <c r="H24" s="41" t="inlineStr">
        <is>
          <t>CORRIGE: KPI MRR absent. GET /platform/dashboard calcule estimatedMrr (FCFA) selon tarifs indicatifs par plan (starter 65k, business 10k/employe) sur les tenants ACTIFS uniquement (trial/enterprise/public=0) ; KPI card 'MRR estime' formatee FCFA ajoutee.</t>
        </is>
      </c>
      <c r="I24" s="42" t="inlineStr">
        <is>
          <t>✅ Passé</t>
        </is>
      </c>
      <c r="J24" s="41" t="inlineStr">
        <is>
          <t>Agents IA + correctif</t>
        </is>
      </c>
      <c r="K24" s="41" t="inlineStr">
        <is>
          <t>23/06/2026</t>
        </is>
      </c>
      <c r="L24" s="43" t="inlineStr"/>
      <c r="M24" s="43" t="inlineStr"/>
      <c r="N24" s="43" t="inlineStr"/>
      <c r="O24" s="43" t="inlineStr">
        <is>
          <t>Sprint 1</t>
        </is>
      </c>
      <c r="P24" s="43" t="inlineStr">
        <is>
          <t>Production</t>
        </is>
      </c>
    </row>
    <row r="25" ht="58" customHeight="1">
      <c r="A25" s="47" t="inlineStr">
        <is>
          <t>PLT-023</t>
        </is>
      </c>
      <c r="B25" s="44" t="inlineStr">
        <is>
          <t>P2 — Haute</t>
        </is>
      </c>
      <c r="C25" s="41" t="inlineStr">
        <is>
          <t>Feature flags par tenant</t>
        </is>
      </c>
      <c r="D25" s="41" t="inlineStr">
        <is>
          <t>Activer/désactiver modules individuellement</t>
        </is>
      </c>
      <c r="E25" s="41" t="inlineStr"/>
      <c r="F25" s="41" t="inlineStr">
        <is>
          <t>1. Onglet Modules d'un tenant
2. Désactiver 'IA Assistant'
3. Connecter admin du tenant</t>
        </is>
      </c>
      <c r="G25" s="41" t="inlineStr">
        <is>
          <t>Module IA n'apparaît pas dans la sidebar du tenant</t>
        </is>
      </c>
      <c r="H25" s="41" t="inlineStr">
        <is>
          <t>Backend CONFORME (live): PUT /modules persiste enabled_modules, login renvoie tenantConfig.enabledModules (ai true-&gt;false apres desactivation), enforcement API hook /ai -&gt; 403 moduleDisabled. CORRIGE cote UI: le widget IA flottant (AiChat) etait rendu inconditionnellement -&gt; desormais gate par isModuleEnabled(tenantConfig,'ai') dans MainLayout. Cle module = 'ai'.</t>
        </is>
      </c>
      <c r="I25" s="42" t="inlineStr">
        <is>
          <t>✅ Passé</t>
        </is>
      </c>
      <c r="J25" s="41" t="inlineStr">
        <is>
          <t>Agents IA + correctif</t>
        </is>
      </c>
      <c r="K25" s="41" t="inlineStr">
        <is>
          <t>23/06/2026</t>
        </is>
      </c>
      <c r="L25" s="41" t="inlineStr"/>
      <c r="M25" s="41" t="inlineStr"/>
      <c r="N25" s="41" t="inlineStr"/>
      <c r="O25" s="41" t="inlineStr">
        <is>
          <t>Sprint 1</t>
        </is>
      </c>
      <c r="P25" s="41" t="inlineStr">
        <is>
          <t>Production</t>
        </is>
      </c>
    </row>
    <row r="26" ht="58" customHeight="1">
      <c r="A26" s="47" t="inlineStr">
        <is>
          <t>PLT-024</t>
        </is>
      </c>
      <c r="B26" s="40" t="inlineStr">
        <is>
          <t>P1 — Critique</t>
        </is>
      </c>
      <c r="C26" s="43" t="inlineStr">
        <is>
          <t>Modules activables par tenant — désactivation</t>
        </is>
      </c>
      <c r="D26" s="43" t="inlineStr">
        <is>
          <t>PUT /platform/tenants/:id/modules ; enforcement API (403 moduleDisabled) + sidebar masquée.</t>
        </is>
      </c>
      <c r="E26" s="43" t="inlineStr">
        <is>
          <t>superadmin connecté ; tenant SOTRA</t>
        </is>
      </c>
      <c r="F26" s="43" t="inlineStr">
        <is>
          <t>1. Plateforme → Tenants → SOTRA → Modules → désactiver « Recrutement »
2. Se connecter admin@sotra.ci
3. Appeler GET /recruitment/jobs</t>
        </is>
      </c>
      <c r="G26" s="43" t="inlineStr">
        <is>
          <t>Entrée Recrutement absente de la sidebar ; API 403 { moduleDisabled: true } ; réactivation rétablit l'accès</t>
        </is>
      </c>
      <c r="H26" s="43" t="n"/>
      <c r="I26" s="42" t="n"/>
      <c r="J26" s="43" t="n"/>
      <c r="K26" s="43" t="n"/>
      <c r="L26" s="43" t="n"/>
      <c r="M26" s="43" t="n"/>
      <c r="N26" s="43" t="n"/>
      <c r="O26" s="43" t="inlineStr">
        <is>
          <t>Recette 10/2026</t>
        </is>
      </c>
      <c r="P26" s="43" t="inlineStr">
        <is>
          <t>Production</t>
        </is>
      </c>
    </row>
    <row r="27" ht="58" customHeight="1">
      <c r="A27" s="47" t="inlineStr">
        <is>
          <t>PLT-025</t>
        </is>
      </c>
      <c r="B27" s="44" t="inlineStr">
        <is>
          <t>P2 — Haute</t>
        </is>
      </c>
      <c r="C27" s="41" t="inlineStr">
        <is>
          <t>Modules opt-in — Vue DG 360°, Pointage, Simulations d'entretien</t>
        </is>
      </c>
      <c r="D27" s="41" t="inlineStr">
        <is>
          <t>dg_view, attendance, interview_sim désactivés par défaut.</t>
        </is>
      </c>
      <c r="E27" s="41" t="inlineStr">
        <is>
          <t>Nouveau tenant de test</t>
        </is>
      </c>
      <c r="F27" s="41" t="inlineStr">
        <is>
          <t>1. Créer un tenant
2. Vérifier l'onglet Modules
3. Activer dg_view puis se connecter dg@</t>
        </is>
      </c>
      <c r="G27" s="41" t="inlineStr">
        <is>
          <t>Les 3 modules sont OFF par défaut, tous les autres ON ; l'activation rend les pages accessibles</t>
        </is>
      </c>
      <c r="H27" s="41" t="n"/>
      <c r="I27" s="42" t="n"/>
      <c r="J27" s="41" t="n"/>
      <c r="K27" s="41" t="n"/>
      <c r="L27" s="41" t="n"/>
      <c r="M27" s="41" t="n"/>
      <c r="N27" s="41" t="n"/>
      <c r="O27" s="41" t="inlineStr">
        <is>
          <t>Recette 10/2026</t>
        </is>
      </c>
      <c r="P27" s="41" t="inlineStr">
        <is>
          <t>Production</t>
        </is>
      </c>
    </row>
    <row r="28" ht="58" customHeight="1">
      <c r="A28" s="47" t="inlineStr">
        <is>
          <t>PLT-026</t>
        </is>
      </c>
      <c r="B28" s="44" t="inlineStr">
        <is>
          <t>P2 — Haute</t>
        </is>
      </c>
      <c r="C28" s="43" t="inlineStr">
        <is>
          <t>Activation de modules en masse (bulk)</t>
        </is>
      </c>
      <c r="D28" s="43" t="inlineStr">
        <is>
          <t>POST /platform/tenants/modules-bulk.</t>
        </is>
      </c>
      <c r="E28" s="43" t="inlineStr">
        <is>
          <t>Plusieurs tenants</t>
        </is>
      </c>
      <c r="F28" s="43" t="inlineStr">
        <is>
          <t>1. Sélectionner 2 tenants
2. Activer « Signature électronique » en masse</t>
        </is>
      </c>
      <c r="G28" s="43" t="inlineStr">
        <is>
          <t>Les 2 tenants reçoivent la surcharge ; clé de module inconnue refusée (400)</t>
        </is>
      </c>
      <c r="H28" s="43" t="n"/>
      <c r="I28" s="42" t="n"/>
      <c r="J28" s="43" t="n"/>
      <c r="K28" s="43" t="n"/>
      <c r="L28" s="43" t="n"/>
      <c r="M28" s="43" t="n"/>
      <c r="N28" s="43" t="n"/>
      <c r="O28" s="43" t="inlineStr">
        <is>
          <t>Recette 10/2026</t>
        </is>
      </c>
      <c r="P28" s="43" t="inlineStr">
        <is>
          <t>Production</t>
        </is>
      </c>
    </row>
    <row r="29" ht="58" customHeight="1">
      <c r="A29" s="47" t="inlineStr">
        <is>
          <t>PLT-027</t>
        </is>
      </c>
      <c r="B29" s="40" t="inlineStr">
        <is>
          <t>P1 — Critique</t>
        </is>
      </c>
      <c r="C29" s="41" t="inlineStr">
        <is>
          <t>Mise hors ligne d'un tenant avec message</t>
        </is>
      </c>
      <c r="D29" s="41" t="inlineStr">
        <is>
          <t>Suspension avec offline_message (variable système offline_message_default).</t>
        </is>
      </c>
      <c r="E29" s="41" t="inlineStr">
        <is>
          <t>Tenant de test</t>
        </is>
      </c>
      <c r="F29" s="41" t="inlineStr">
        <is>
          <t>1. Tenant → Suspendre → saisir message « Maintenance contractuelle »
2. Vérifier login d'un utilisateur du tenant
3. Réactiver</t>
        </is>
      </c>
      <c r="G29" s="41" t="inlineStr">
        <is>
          <t>Message affiché aux utilisateurs bloqués ; filiales du tenant également bloquées ; si message obligatoire et vide → refus ; actions auditées</t>
        </is>
      </c>
      <c r="H29" s="41" t="n"/>
      <c r="I29" s="42" t="n"/>
      <c r="J29" s="41" t="n"/>
      <c r="K29" s="41" t="n"/>
      <c r="L29" s="41" t="n"/>
      <c r="M29" s="41" t="n"/>
      <c r="N29" s="41" t="n"/>
      <c r="O29" s="41" t="inlineStr">
        <is>
          <t>Recette 10/2026</t>
        </is>
      </c>
      <c r="P29" s="41" t="inlineStr">
        <is>
          <t>Production</t>
        </is>
      </c>
    </row>
    <row r="30" ht="58" customHeight="1">
      <c r="A30" s="47" t="inlineStr">
        <is>
          <t>PLT-028</t>
        </is>
      </c>
      <c r="B30" s="44" t="inlineStr">
        <is>
          <t>P2 — Haute</t>
        </is>
      </c>
      <c r="C30" s="43" t="inlineStr">
        <is>
          <t>Paramètres plateforme — politique de sécurité</t>
        </is>
      </c>
      <c r="D30" s="43" t="inlineStr">
        <is>
          <t>GET/PATCH /platform/settings (singleton).</t>
        </is>
      </c>
      <c r="E30" s="43" t="inlineStr">
        <is>
          <t>superadmin</t>
        </is>
      </c>
      <c r="F30" s="43" t="inlineStr">
        <is>
          <t>1. Plateforme → Paramètres
2. Modifier MFA obligatoire, durée de vie mdp, historique, verrouillage, message hors ligne par défaut
3. Enregistrer puis recharger</t>
        </is>
      </c>
      <c r="G30" s="43" t="inlineStr">
        <is>
          <t>Valeurs persistées sur une seule ligne (pas de doublon) ; appliquées aux logins suivants</t>
        </is>
      </c>
      <c r="H30" s="43" t="n"/>
      <c r="I30" s="42" t="n"/>
      <c r="J30" s="43" t="n"/>
      <c r="K30" s="43" t="n"/>
      <c r="L30" s="43" t="n"/>
      <c r="M30" s="43" t="n"/>
      <c r="N30" s="43" t="n"/>
      <c r="O30" s="43" t="inlineStr">
        <is>
          <t>Recette 10/2026</t>
        </is>
      </c>
      <c r="P30" s="43" t="inlineStr">
        <is>
          <t>Production</t>
        </is>
      </c>
    </row>
    <row r="31" ht="58" customHeight="1">
      <c r="A31" s="47" t="inlineStr">
        <is>
          <t>PLT-029</t>
        </is>
      </c>
      <c r="B31" s="44" t="inlineStr">
        <is>
          <t>P2 — Haute</t>
        </is>
      </c>
      <c r="C31" s="41" t="inlineStr">
        <is>
          <t>Packs législatifs — consultation et modification</t>
        </is>
      </c>
      <c r="D31" s="41" t="inlineStr">
        <is>
          <t>GET/PATCH /platform/legislation-packs/:country.</t>
        </is>
      </c>
      <c r="E31" s="41" t="inlineStr">
        <is>
          <t>superadmin</t>
        </is>
      </c>
      <c r="F31" s="41" t="inlineStr">
        <is>
          <t>1. Plateforme → Législation → pack CI
2. Consulter SMIG, préavis, barème ITS, taux CNPS
3. Modifier une valeur de test puis annuler</t>
        </is>
      </c>
      <c r="G31" s="41" t="inlineStr">
        <is>
          <t>Pack affiché complet ; modification validée et versionnée ; tenants CI recalculés avec la nouvelle valeur</t>
        </is>
      </c>
      <c r="H31" s="41" t="n"/>
      <c r="I31" s="42" t="n"/>
      <c r="J31" s="41" t="n"/>
      <c r="K31" s="41" t="n"/>
      <c r="L31" s="41" t="n"/>
      <c r="M31" s="41" t="n"/>
      <c r="N31" s="41" t="n"/>
      <c r="O31" s="41" t="inlineStr">
        <is>
          <t>Recette 10/2026</t>
        </is>
      </c>
      <c r="P31" s="41" t="inlineStr">
        <is>
          <t>Production</t>
        </is>
      </c>
    </row>
    <row r="32" ht="58" customHeight="1">
      <c r="A32" s="47" t="inlineStr">
        <is>
          <t>PLT-030</t>
        </is>
      </c>
      <c r="B32" s="44" t="inlineStr">
        <is>
          <t>P2 — Haute</t>
        </is>
      </c>
      <c r="C32" s="43" t="inlineStr">
        <is>
          <t>Propositions législatives — approbation / rejet</t>
        </is>
      </c>
      <c r="D32" s="43" t="inlineStr">
        <is>
          <t>legislation-proposals : approve/reject.</t>
        </is>
      </c>
      <c r="E32" s="43" t="inlineStr">
        <is>
          <t>Une proposition en attente</t>
        </is>
      </c>
      <c r="F32" s="43" t="inlineStr">
        <is>
          <t>1. Plateforme → Législation → Propositions
2. Approuver une proposition, en rejeter une autre avec motif</t>
        </is>
      </c>
      <c r="G32" s="43" t="inlineStr">
        <is>
          <t>Statuts mis à jour, pack modifié uniquement après approbation, audit présent</t>
        </is>
      </c>
      <c r="H32" s="43" t="n"/>
      <c r="I32" s="42" t="n"/>
      <c r="J32" s="43" t="n"/>
      <c r="K32" s="43" t="n"/>
      <c r="L32" s="43" t="n"/>
      <c r="M32" s="43" t="n"/>
      <c r="N32" s="43" t="n"/>
      <c r="O32" s="43" t="inlineStr">
        <is>
          <t>Recette 10/2026</t>
        </is>
      </c>
      <c r="P32" s="43" t="inlineStr">
        <is>
          <t>Production</t>
        </is>
      </c>
    </row>
    <row r="33" ht="58" customHeight="1">
      <c r="A33" s="47" t="inlineStr">
        <is>
          <t>PLT-031</t>
        </is>
      </c>
      <c r="B33" s="44" t="inlineStr">
        <is>
          <t>P2 — Haute</t>
        </is>
      </c>
      <c r="C33" s="41" t="inlineStr">
        <is>
          <t>Veille légale IA — analyse de texte</t>
        </is>
      </c>
      <c r="D33" s="41" t="inlineStr">
        <is>
          <t>POST /platform/legal-watch/analyze (diff IA, confiance 0-100).</t>
        </is>
      </c>
      <c r="E33" s="41" t="inlineStr">
        <is>
          <t>superadmin ; IA disponible</t>
        </is>
      </c>
      <c r="F33" s="41" t="inlineStr">
        <is>
          <t>1. Plateforme → Veille légale → coller un nouveau texte d'article
2. Lancer l'analyse
3. Coller un texte &gt; 30 000 caractères</t>
        </is>
      </c>
      <c r="G33" s="41" t="inlineStr">
        <is>
          <t>Résumé des changements, confiance, raisonnement ; proposition créée ; texte trop long refusé (400)</t>
        </is>
      </c>
      <c r="H33" s="41" t="n"/>
      <c r="I33" s="42" t="n"/>
      <c r="J33" s="41" t="n"/>
      <c r="K33" s="41" t="n"/>
      <c r="L33" s="41" t="n"/>
      <c r="M33" s="41" t="n"/>
      <c r="N33" s="41" t="n"/>
      <c r="O33" s="41" t="inlineStr">
        <is>
          <t>Recette 10/2026</t>
        </is>
      </c>
      <c r="P33" s="41" t="inlineStr">
        <is>
          <t>Production</t>
        </is>
      </c>
    </row>
    <row r="34" ht="58" customHeight="1">
      <c r="A34" s="47" t="inlineStr">
        <is>
          <t>PLT-032</t>
        </is>
      </c>
      <c r="B34" s="45" t="inlineStr">
        <is>
          <t>P3 — Moyenne</t>
        </is>
      </c>
      <c r="C34" s="43" t="inlineStr">
        <is>
          <t>Constantes légales par pays et version</t>
        </is>
      </c>
      <c r="D34" s="43" t="inlineStr">
        <is>
          <t>GET/PATCH /platform/legal-constants/:country/:version.</t>
        </is>
      </c>
      <c r="E34" s="43" t="inlineStr">
        <is>
          <t>superadmin</t>
        </is>
      </c>
      <c r="F34" s="43" t="inlineStr">
        <is>
          <t>1. Plateforme → Législation → Constantes
2. Modifier une constante d'une version future</t>
        </is>
      </c>
      <c r="G34" s="43" t="inlineStr">
        <is>
          <t>Constante enregistrée pour la version ciblée, version courante inchangée</t>
        </is>
      </c>
      <c r="H34" s="43" t="n"/>
      <c r="I34" s="42" t="n"/>
      <c r="J34" s="43" t="n"/>
      <c r="K34" s="43" t="n"/>
      <c r="L34" s="43" t="n"/>
      <c r="M34" s="43" t="n"/>
      <c r="N34" s="43" t="n"/>
      <c r="O34" s="43" t="inlineStr">
        <is>
          <t>Recette 10/2026</t>
        </is>
      </c>
      <c r="P34" s="43" t="inlineStr">
        <is>
          <t>Production</t>
        </is>
      </c>
    </row>
    <row r="35" ht="58" customHeight="1">
      <c r="A35" s="47" t="inlineStr">
        <is>
          <t>PLT-033</t>
        </is>
      </c>
      <c r="B35" s="44" t="inlineStr">
        <is>
          <t>P2 — Haute</t>
        </is>
      </c>
      <c r="C35" s="41" t="inlineStr">
        <is>
          <t>Configuration du sourcing IA (modèles, plateformes, réglages)</t>
        </is>
      </c>
      <c r="D35" s="41" t="inlineStr">
        <is>
          <t>Tables platform.sourcing_* — 100 % paramétrable.</t>
        </is>
      </c>
      <c r="E35" s="41" t="inlineStr">
        <is>
          <t>superadmin</t>
        </is>
      </c>
      <c r="F35" s="41" t="inlineStr">
        <is>
          <t>1. Plateforme → Paramètres → Sourcing
2. Ajouter un modèle, désactiver une plateforme, modifier les réglages
3. Lancer un sourcing côté tenant</t>
        </is>
      </c>
      <c r="G35" s="41" t="inlineStr">
        <is>
          <t>Le sourcing utilise exactement la configuration (aucune valeur en dur) ; plateforme désactivée absente</t>
        </is>
      </c>
      <c r="H35" s="41" t="n"/>
      <c r="I35" s="42" t="n"/>
      <c r="J35" s="41" t="n"/>
      <c r="K35" s="41" t="n"/>
      <c r="L35" s="41" t="n"/>
      <c r="M35" s="41" t="n"/>
      <c r="N35" s="41" t="n"/>
      <c r="O35" s="41" t="inlineStr">
        <is>
          <t>Recette 10/2026</t>
        </is>
      </c>
      <c r="P35" s="41" t="inlineStr">
        <is>
          <t>Production</t>
        </is>
      </c>
    </row>
    <row r="36" ht="58" customHeight="1">
      <c r="A36" s="47" t="inlineStr">
        <is>
          <t>PLT-034</t>
        </is>
      </c>
      <c r="B36" s="44" t="inlineStr">
        <is>
          <t>P2 — Haute</t>
        </is>
      </c>
      <c r="C36" s="43" t="inlineStr">
        <is>
          <t>Export des données d'un tenant</t>
        </is>
      </c>
      <c r="D36" s="43" t="inlineStr">
        <is>
          <t>GET /platform/tenants/:id/export.</t>
        </is>
      </c>
      <c r="E36" s="43" t="inlineStr">
        <is>
          <t>superadmin</t>
        </is>
      </c>
      <c r="F36" s="43" t="inlineStr">
        <is>
          <t>1. Tenant → Exporter les données</t>
        </is>
      </c>
      <c r="G36" s="43" t="inlineStr">
        <is>
          <t>Archive/JSON téléchargé contenant uniquement les données du tenant ciblé ; action auditée</t>
        </is>
      </c>
      <c r="H36" s="43" t="n"/>
      <c r="I36" s="42" t="n"/>
      <c r="J36" s="43" t="n"/>
      <c r="K36" s="43" t="n"/>
      <c r="L36" s="43" t="n"/>
      <c r="M36" s="43" t="n"/>
      <c r="N36" s="43" t="n"/>
      <c r="O36" s="43" t="inlineStr">
        <is>
          <t>Recette 10/2026</t>
        </is>
      </c>
      <c r="P36" s="43" t="inlineStr">
        <is>
          <t>Production</t>
        </is>
      </c>
    </row>
    <row r="37" ht="58" customHeight="1">
      <c r="A37" s="47" t="inlineStr">
        <is>
          <t>PLT-035</t>
        </is>
      </c>
      <c r="B37" s="44" t="inlineStr">
        <is>
          <t>P2 — Haute</t>
        </is>
      </c>
      <c r="C37" s="41" t="inlineStr">
        <is>
          <t>Suppression d'un tenant</t>
        </is>
      </c>
      <c r="D37" s="41" t="inlineStr">
        <is>
          <t>DELETE /platform/tenants/:id.</t>
        </is>
      </c>
      <c r="E37" s="41" t="inlineStr">
        <is>
          <t>Tenant de test créé pour l'occasion</t>
        </is>
      </c>
      <c r="F37" s="41" t="inlineStr">
        <is>
          <t>1. Tenant de test → Supprimer → confirmer en saisissant le slug</t>
        </is>
      </c>
      <c r="G37" s="41" t="inlineStr">
        <is>
          <t>Tenant supprimé, schéma retiré, plus aucun login possible ; SOTRA intact</t>
        </is>
      </c>
      <c r="H37" s="41" t="n"/>
      <c r="I37" s="42" t="n"/>
      <c r="J37" s="41" t="n"/>
      <c r="K37" s="41" t="n"/>
      <c r="L37" s="41" t="n"/>
      <c r="M37" s="41" t="n"/>
      <c r="N37" s="41" t="n"/>
      <c r="O37" s="41" t="inlineStr">
        <is>
          <t>Recette 10/2026</t>
        </is>
      </c>
      <c r="P37" s="41" t="inlineStr">
        <is>
          <t>Production</t>
        </is>
      </c>
    </row>
    <row r="38" ht="58" customHeight="1">
      <c r="A38" s="47" t="inlineStr">
        <is>
          <t>PLT-036</t>
        </is>
      </c>
      <c r="B38" s="45" t="inlineStr">
        <is>
          <t>P3 — Moyenne</t>
        </is>
      </c>
      <c r="C38" s="43" t="inlineStr">
        <is>
          <t>Statistiques d'un tenant</t>
        </is>
      </c>
      <c r="D38" s="43" t="inlineStr">
        <is>
          <t>GET /platform/tenants/:id/stats.</t>
        </is>
      </c>
      <c r="E38" s="43" t="inlineStr">
        <is>
          <t>superadmin</t>
        </is>
      </c>
      <c r="F38" s="43" t="inlineStr">
        <is>
          <t>1. Tenant SOTRA → onglet Statistiques</t>
        </is>
      </c>
      <c r="G38" s="43" t="inlineStr">
        <is>
          <t>Effectif, utilisateurs, bulletins, stockage cohérents avec les données SOTRA</t>
        </is>
      </c>
      <c r="H38" s="43" t="n"/>
      <c r="I38" s="42" t="n"/>
      <c r="J38" s="43" t="n"/>
      <c r="K38" s="43" t="n"/>
      <c r="L38" s="43" t="n"/>
      <c r="M38" s="43" t="n"/>
      <c r="N38" s="43" t="n"/>
      <c r="O38" s="43" t="inlineStr">
        <is>
          <t>Recette 10/2026</t>
        </is>
      </c>
      <c r="P38" s="43" t="inlineStr">
        <is>
          <t>Production</t>
        </is>
      </c>
    </row>
    <row r="39" ht="58" customHeight="1">
      <c r="A39" s="47" t="inlineStr">
        <is>
          <t>PLT-037</t>
        </is>
      </c>
      <c r="B39" s="45" t="inlineStr">
        <is>
          <t>P3 — Moyenne</t>
        </is>
      </c>
      <c r="C39" s="41" t="inlineStr">
        <is>
          <t>Demandes de démo (site public)</t>
        </is>
      </c>
      <c r="D39" s="41" t="inlineStr">
        <is>
          <t>Formulaire public /  → POST /public/demo/request avec captcha.</t>
        </is>
      </c>
      <c r="E39" s="41" t="inlineStr">
        <is>
          <t>Navigateur non connecté</t>
        </is>
      </c>
      <c r="F39" s="41" t="inlineStr">
        <is>
          <t>1. Page d'accueil → Demander une démo
2. Remplir sans captcha, puis avec captcha valide
3. Saisir un nom contenant &lt;script&gt;</t>
        </is>
      </c>
      <c r="G39" s="41" t="inlineStr">
        <is>
          <t>Sans captcha → refus ; avec captcha → confirmation + email OpenLab ; contenu échappé dans l'email (aucune injection)</t>
        </is>
      </c>
      <c r="H39" s="41" t="n"/>
      <c r="I39" s="42" t="n"/>
      <c r="J39" s="41" t="n"/>
      <c r="K39" s="41" t="n"/>
      <c r="L39" s="41" t="n"/>
      <c r="M39" s="41" t="n"/>
      <c r="N39" s="41" t="n"/>
      <c r="O39" s="41" t="inlineStr">
        <is>
          <t>Recette 10/2026</t>
        </is>
      </c>
      <c r="P39" s="41" t="inlineStr">
        <is>
          <t>Production</t>
        </is>
      </c>
    </row>
    <row r="40" ht="58" customHeight="1">
      <c r="A40" s="47" t="inlineStr">
        <is>
          <t>PLT-038</t>
        </is>
      </c>
      <c r="B40" s="45" t="inlineStr">
        <is>
          <t>P3 — Moyenne</t>
        </is>
      </c>
      <c r="C40" s="43" t="inlineStr">
        <is>
          <t>Pages publiques — accueil, mentions légales, SEO</t>
        </is>
      </c>
      <c r="D40" s="43" t="inlineStr">
        <is>
          <t>HomePage, /legal/:doc, pré-rendu SEO.</t>
        </is>
      </c>
      <c r="E40" s="43" t="inlineStr">
        <is>
          <t>Navigateur non connecté</t>
        </is>
      </c>
      <c r="F40" s="43" t="inlineStr">
        <is>
          <t>1. Ouvrir / , /legal/cgu, /legal/confidentialite
2. Basculer FR/EN
3. Afficher la source de la page</t>
        </is>
      </c>
      <c r="G40" s="43" t="inlineStr">
        <is>
          <t>Pages rendues, langue basculée, balises title/description présentes dans le HTML pré-rendu</t>
        </is>
      </c>
      <c r="H40" s="43" t="n"/>
      <c r="I40" s="42" t="n"/>
      <c r="J40" s="43" t="n"/>
      <c r="K40" s="43" t="n"/>
      <c r="L40" s="43" t="n"/>
      <c r="M40" s="43" t="n"/>
      <c r="N40" s="43" t="n"/>
      <c r="O40" s="43" t="inlineStr">
        <is>
          <t>Recette 10/2026</t>
        </is>
      </c>
      <c r="P40" s="43" t="inlineStr">
        <is>
          <t>Production</t>
        </is>
      </c>
    </row>
    <row r="41" ht="58" customHeight="1">
      <c r="A41" s="47" t="inlineStr">
        <is>
          <t>PLT-039</t>
        </is>
      </c>
      <c r="B41" s="44" t="inlineStr">
        <is>
          <t>P2 — Haute</t>
        </is>
      </c>
      <c r="C41" s="41" t="inlineStr">
        <is>
          <t>Consommation IA par tenant</t>
        </is>
      </c>
      <c r="D41" s="41" t="inlineStr">
        <is>
          <t>GET /platform/ai-usage (complément AI-104).</t>
        </is>
      </c>
      <c r="E41" s="41" t="inlineStr">
        <is>
          <t>superadmin ; tenants avec usage IA</t>
        </is>
      </c>
      <c r="F41" s="41" t="inlineStr">
        <is>
          <t>1. Plateforme → Consommation IA
2. Filtrer par tenant et par mois</t>
        </is>
      </c>
      <c r="G41" s="41" t="inlineStr">
        <is>
          <t>Tokens et coût estimé par tenant/mois, aucune donnée de contenu des conversations exposée</t>
        </is>
      </c>
      <c r="H41" s="41" t="n"/>
      <c r="I41" s="42" t="n"/>
      <c r="J41" s="41" t="n"/>
      <c r="K41" s="41" t="n"/>
      <c r="L41" s="41" t="n"/>
      <c r="M41" s="41" t="n"/>
      <c r="N41" s="41" t="n"/>
      <c r="O41" s="41" t="inlineStr">
        <is>
          <t>Recette 10/2026</t>
        </is>
      </c>
      <c r="P41" s="41" t="inlineStr">
        <is>
          <t>Production</t>
        </is>
      </c>
    </row>
  </sheetData>
  <mergeCells count="1">
    <mergeCell ref="A1:P1"/>
  </mergeCells>
  <conditionalFormatting sqref="A3:P41">
    <cfRule type="expression" priority="1" dxfId="0">
      <formula>$I3="✅ Passé"</formula>
    </cfRule>
    <cfRule type="expression" priority="2" dxfId="1">
      <formula>$I3="❌ Échoué"</formula>
    </cfRule>
    <cfRule type="expression" priority="3" dxfId="2">
      <formula>$I3="⚠️ Bloqué"</formula>
    </cfRule>
    <cfRule type="expression" priority="4" dxfId="3">
      <formula>$I3="▶️ En cours"</formula>
    </cfRule>
    <cfRule type="expression" priority="5" dxfId="4">
      <formula>$I3="⬜ Non exécuté"</formula>
    </cfRule>
  </conditionalFormatting>
  <dataValidations count="72">
    <dataValidation sqref="I3" showDropDown="0" showInputMessage="0" showErrorMessage="0" allowBlank="1" type="list">
      <formula1>"✅ Passé,❌ Échoué,⚠️ Bloqué,▶️ En cours,⬜ Non exécuté"</formula1>
    </dataValidation>
    <dataValidation sqref="B3" showDropDown="0" showInputMessage="0" showErrorMessage="0" allowBlank="1" type="list">
      <formula1>"P1 — Critique,P2 — Haute,P3 — Moyenne,P4 — Basse"</formula1>
    </dataValidation>
    <dataValidation sqref="P3" showDropDown="0" showInputMessage="0" showErrorMessage="0" allowBlank="1" type="list">
      <formula1>"Production,Preprod,Local"</formula1>
    </dataValidation>
    <dataValidation sqref="I4" showDropDown="0" showInputMessage="0" showErrorMessage="0" allowBlank="1" type="list">
      <formula1>"✅ Passé,❌ Échoué,⚠️ Bloqué,▶️ En cours,⬜ Non exécuté"</formula1>
    </dataValidation>
    <dataValidation sqref="B4" showDropDown="0" showInputMessage="0" showErrorMessage="0" allowBlank="1" type="list">
      <formula1>"P1 — Critique,P2 — Haute,P3 — Moyenne,P4 — Basse"</formula1>
    </dataValidation>
    <dataValidation sqref="P4" showDropDown="0" showInputMessage="0" showErrorMessage="0" allowBlank="1" type="list">
      <formula1>"Production,Preprod,Local"</formula1>
    </dataValidation>
    <dataValidation sqref="I5" showDropDown="0" showInputMessage="0" showErrorMessage="0" allowBlank="1" type="list">
      <formula1>"✅ Passé,❌ Échoué,⚠️ Bloqué,▶️ En cours,⬜ Non exécuté"</formula1>
    </dataValidation>
    <dataValidation sqref="B5" showDropDown="0" showInputMessage="0" showErrorMessage="0" allowBlank="1" type="list">
      <formula1>"P1 — Critique,P2 — Haute,P3 — Moyenne,P4 — Basse"</formula1>
    </dataValidation>
    <dataValidation sqref="P5" showDropDown="0" showInputMessage="0" showErrorMessage="0" allowBlank="1" type="list">
      <formula1>"Production,Preprod,Local"</formula1>
    </dataValidation>
    <dataValidation sqref="I6" showDropDown="0" showInputMessage="0" showErrorMessage="0" allowBlank="1" type="list">
      <formula1>"✅ Passé,❌ Échoué,⚠️ Bloqué,▶️ En cours,⬜ Non exécuté"</formula1>
    </dataValidation>
    <dataValidation sqref="B6" showDropDown="0" showInputMessage="0" showErrorMessage="0" allowBlank="1" type="list">
      <formula1>"P1 — Critique,P2 — Haute,P3 — Moyenne,P4 — Basse"</formula1>
    </dataValidation>
    <dataValidation sqref="P6" showDropDown="0" showInputMessage="0" showErrorMessage="0" allowBlank="1" type="list">
      <formula1>"Production,Preprod,Local"</formula1>
    </dataValidation>
    <dataValidation sqref="I7" showDropDown="0" showInputMessage="0" showErrorMessage="0" allowBlank="1" type="list">
      <formula1>"✅ Passé,❌ Échoué,⚠️ Bloqué,▶️ En cours,⬜ Non exécuté"</formula1>
    </dataValidation>
    <dataValidation sqref="B7" showDropDown="0" showInputMessage="0" showErrorMessage="0" allowBlank="1" type="list">
      <formula1>"P1 — Critique,P2 — Haute,P3 — Moyenne,P4 — Basse"</formula1>
    </dataValidation>
    <dataValidation sqref="P7" showDropDown="0" showInputMessage="0" showErrorMessage="0" allowBlank="1" type="list">
      <formula1>"Production,Preprod,Local"</formula1>
    </dataValidation>
    <dataValidation sqref="I8" showDropDown="0" showInputMessage="0" showErrorMessage="0" allowBlank="1" type="list">
      <formula1>"✅ Passé,❌ Échoué,⚠️ Bloqué,▶️ En cours,⬜ Non exécuté"</formula1>
    </dataValidation>
    <dataValidation sqref="B8" showDropDown="0" showInputMessage="0" showErrorMessage="0" allowBlank="1" type="list">
      <formula1>"P1 — Critique,P2 — Haute,P3 — Moyenne,P4 — Basse"</formula1>
    </dataValidation>
    <dataValidation sqref="P8" showDropDown="0" showInputMessage="0" showErrorMessage="0" allowBlank="1" type="list">
      <formula1>"Production,Preprod,Local"</formula1>
    </dataValidation>
    <dataValidation sqref="I9" showDropDown="0" showInputMessage="0" showErrorMessage="0" allowBlank="1" type="list">
      <formula1>"✅ Passé,❌ Échoué,⚠️ Bloqué,▶️ En cours,⬜ Non exécuté"</formula1>
    </dataValidation>
    <dataValidation sqref="B9" showDropDown="0" showInputMessage="0" showErrorMessage="0" allowBlank="1" type="list">
      <formula1>"P1 — Critique,P2 — Haute,P3 — Moyenne,P4 — Basse"</formula1>
    </dataValidation>
    <dataValidation sqref="P9" showDropDown="0" showInputMessage="0" showErrorMessage="0" allowBlank="1" type="list">
      <formula1>"Production,Preprod,Local"</formula1>
    </dataValidation>
    <dataValidation sqref="I10" showDropDown="0" showInputMessage="0" showErrorMessage="0" allowBlank="1" type="list">
      <formula1>"✅ Passé,❌ Échoué,⚠️ Bloqué,▶️ En cours,⬜ Non exécuté"</formula1>
    </dataValidation>
    <dataValidation sqref="B10" showDropDown="0" showInputMessage="0" showErrorMessage="0" allowBlank="1" type="list">
      <formula1>"P1 — Critique,P2 — Haute,P3 — Moyenne,P4 — Basse"</formula1>
    </dataValidation>
    <dataValidation sqref="P10" showDropDown="0" showInputMessage="0" showErrorMessage="0" allowBlank="1" type="list">
      <formula1>"Production,Preprod,Local"</formula1>
    </dataValidation>
    <dataValidation sqref="I11" showDropDown="0" showInputMessage="0" showErrorMessage="0" allowBlank="1" type="list">
      <formula1>"✅ Passé,❌ Échoué,⚠️ Bloqué,▶️ En cours,⬜ Non exécuté"</formula1>
    </dataValidation>
    <dataValidation sqref="B11" showDropDown="0" showInputMessage="0" showErrorMessage="0" allowBlank="1" type="list">
      <formula1>"P1 — Critique,P2 — Haute,P3 — Moyenne,P4 — Basse"</formula1>
    </dataValidation>
    <dataValidation sqref="P11" showDropDown="0" showInputMessage="0" showErrorMessage="0" allowBlank="1" type="list">
      <formula1>"Production,Preprod,Local"</formula1>
    </dataValidation>
    <dataValidation sqref="I12" showDropDown="0" showInputMessage="0" showErrorMessage="0" allowBlank="1" type="list">
      <formula1>"✅ Passé,❌ Échoué,⚠️ Bloqué,▶️ En cours,⬜ Non exécuté"</formula1>
    </dataValidation>
    <dataValidation sqref="B12" showDropDown="0" showInputMessage="0" showErrorMessage="0" allowBlank="1" type="list">
      <formula1>"P1 — Critique,P2 — Haute,P3 — Moyenne,P4 — Basse"</formula1>
    </dataValidation>
    <dataValidation sqref="P12" showDropDown="0" showInputMessage="0" showErrorMessage="0" allowBlank="1" type="list">
      <formula1>"Production,Preprod,Local"</formula1>
    </dataValidation>
    <dataValidation sqref="I13" showDropDown="0" showInputMessage="0" showErrorMessage="0" allowBlank="1" type="list">
      <formula1>"✅ Passé,❌ Échoué,⚠️ Bloqué,▶️ En cours,⬜ Non exécuté"</formula1>
    </dataValidation>
    <dataValidation sqref="B13" showDropDown="0" showInputMessage="0" showErrorMessage="0" allowBlank="1" type="list">
      <formula1>"P1 — Critique,P2 — Haute,P3 — Moyenne,P4 — Basse"</formula1>
    </dataValidation>
    <dataValidation sqref="P13" showDropDown="0" showInputMessage="0" showErrorMessage="0" allowBlank="1" type="list">
      <formula1>"Production,Preprod,Local"</formula1>
    </dataValidation>
    <dataValidation sqref="I14" showDropDown="0" showInputMessage="0" showErrorMessage="0" allowBlank="1" type="list">
      <formula1>"✅ Passé,❌ Échoué,⚠️ Bloqué,▶️ En cours,⬜ Non exécuté"</formula1>
    </dataValidation>
    <dataValidation sqref="B14" showDropDown="0" showInputMessage="0" showErrorMessage="0" allowBlank="1" type="list">
      <formula1>"P1 — Critique,P2 — Haute,P3 — Moyenne,P4 — Basse"</formula1>
    </dataValidation>
    <dataValidation sqref="P14" showDropDown="0" showInputMessage="0" showErrorMessage="0" allowBlank="1" type="list">
      <formula1>"Production,Preprod,Local"</formula1>
    </dataValidation>
    <dataValidation sqref="I15" showDropDown="0" showInputMessage="0" showErrorMessage="0" allowBlank="1" type="list">
      <formula1>"✅ Passé,❌ Échoué,⚠️ Bloqué,▶️ En cours,⬜ Non exécuté"</formula1>
    </dataValidation>
    <dataValidation sqref="B15" showDropDown="0" showInputMessage="0" showErrorMessage="0" allowBlank="1" type="list">
      <formula1>"P1 — Critique,P2 — Haute,P3 — Moyenne,P4 — Basse"</formula1>
    </dataValidation>
    <dataValidation sqref="P15" showDropDown="0" showInputMessage="0" showErrorMessage="0" allowBlank="1" type="list">
      <formula1>"Production,Preprod,Local"</formula1>
    </dataValidation>
    <dataValidation sqref="I16" showDropDown="0" showInputMessage="0" showErrorMessage="0" allowBlank="1" type="list">
      <formula1>"✅ Passé,❌ Échoué,⚠️ Bloqué,▶️ En cours,⬜ Non exécuté"</formula1>
    </dataValidation>
    <dataValidation sqref="B16" showDropDown="0" showInputMessage="0" showErrorMessage="0" allowBlank="1" type="list">
      <formula1>"P1 — Critique,P2 — Haute,P3 — Moyenne,P4 — Basse"</formula1>
    </dataValidation>
    <dataValidation sqref="P16" showDropDown="0" showInputMessage="0" showErrorMessage="0" allowBlank="1" type="list">
      <formula1>"Production,Preprod,Local"</formula1>
    </dataValidation>
    <dataValidation sqref="I17" showDropDown="0" showInputMessage="0" showErrorMessage="0" allowBlank="1" type="list">
      <formula1>"✅ Passé,❌ Échoué,⚠️ Bloqué,▶️ En cours,⬜ Non exécuté"</formula1>
    </dataValidation>
    <dataValidation sqref="B17" showDropDown="0" showInputMessage="0" showErrorMessage="0" allowBlank="1" type="list">
      <formula1>"P1 — Critique,P2 — Haute,P3 — Moyenne,P4 — Basse"</formula1>
    </dataValidation>
    <dataValidation sqref="P17" showDropDown="0" showInputMessage="0" showErrorMessage="0" allowBlank="1" type="list">
      <formula1>"Production,Preprod,Local"</formula1>
    </dataValidation>
    <dataValidation sqref="I18" showDropDown="0" showInputMessage="0" showErrorMessage="0" allowBlank="1" type="list">
      <formula1>"✅ Passé,❌ Échoué,⚠️ Bloqué,▶️ En cours,⬜ Non exécuté"</formula1>
    </dataValidation>
    <dataValidation sqref="B18" showDropDown="0" showInputMessage="0" showErrorMessage="0" allowBlank="1" type="list">
      <formula1>"P1 — Critique,P2 — Haute,P3 — Moyenne,P4 — Basse"</formula1>
    </dataValidation>
    <dataValidation sqref="P18" showDropDown="0" showInputMessage="0" showErrorMessage="0" allowBlank="1" type="list">
      <formula1>"Production,Preprod,Local"</formula1>
    </dataValidation>
    <dataValidation sqref="I19" showDropDown="0" showInputMessage="0" showErrorMessage="0" allowBlank="1" type="list">
      <formula1>"✅ Passé,❌ Échoué,⚠️ Bloqué,▶️ En cours,⬜ Non exécuté"</formula1>
    </dataValidation>
    <dataValidation sqref="B19" showDropDown="0" showInputMessage="0" showErrorMessage="0" allowBlank="1" type="list">
      <formula1>"P1 — Critique,P2 — Haute,P3 — Moyenne,P4 — Basse"</formula1>
    </dataValidation>
    <dataValidation sqref="P19" showDropDown="0" showInputMessage="0" showErrorMessage="0" allowBlank="1" type="list">
      <formula1>"Production,Preprod,Local"</formula1>
    </dataValidation>
    <dataValidation sqref="I20" showDropDown="0" showInputMessage="0" showErrorMessage="0" allowBlank="1" type="list">
      <formula1>"✅ Passé,❌ Échoué,⚠️ Bloqué,▶️ En cours,⬜ Non exécuté"</formula1>
    </dataValidation>
    <dataValidation sqref="B20" showDropDown="0" showInputMessage="0" showErrorMessage="0" allowBlank="1" type="list">
      <formula1>"P1 — Critique,P2 — Haute,P3 — Moyenne,P4 — Basse"</formula1>
    </dataValidation>
    <dataValidation sqref="P20" showDropDown="0" showInputMessage="0" showErrorMessage="0" allowBlank="1" type="list">
      <formula1>"Production,Preprod,Local"</formula1>
    </dataValidation>
    <dataValidation sqref="I21" showDropDown="0" showInputMessage="0" showErrorMessage="0" allowBlank="1" type="list">
      <formula1>"✅ Passé,❌ Échoué,⚠️ Bloqué,▶️ En cours,⬜ Non exécuté"</formula1>
    </dataValidation>
    <dataValidation sqref="B21" showDropDown="0" showInputMessage="0" showErrorMessage="0" allowBlank="1" type="list">
      <formula1>"P1 — Critique,P2 — Haute,P3 — Moyenne,P4 — Basse"</formula1>
    </dataValidation>
    <dataValidation sqref="P21" showDropDown="0" showInputMessage="0" showErrorMessage="0" allowBlank="1" type="list">
      <formula1>"Production,Preprod,Local"</formula1>
    </dataValidation>
    <dataValidation sqref="I22" showDropDown="0" showInputMessage="0" showErrorMessage="0" allowBlank="1" type="list">
      <formula1>"✅ Passé,❌ Échoué,⚠️ Bloqué,▶️ En cours,⬜ Non exécuté"</formula1>
    </dataValidation>
    <dataValidation sqref="B22" showDropDown="0" showInputMessage="0" showErrorMessage="0" allowBlank="1" type="list">
      <formula1>"P1 — Critique,P2 — Haute,P3 — Moyenne,P4 — Basse"</formula1>
    </dataValidation>
    <dataValidation sqref="P22" showDropDown="0" showInputMessage="0" showErrorMessage="0" allowBlank="1" type="list">
      <formula1>"Production,Preprod,Local"</formula1>
    </dataValidation>
    <dataValidation sqref="I23" showDropDown="0" showInputMessage="0" showErrorMessage="0" allowBlank="1" type="list">
      <formula1>"✅ Passé,❌ Échoué,⚠️ Bloqué,▶️ En cours,⬜ Non exécuté"</formula1>
    </dataValidation>
    <dataValidation sqref="B23" showDropDown="0" showInputMessage="0" showErrorMessage="0" allowBlank="1" type="list">
      <formula1>"P1 — Critique,P2 — Haute,P3 — Moyenne,P4 — Basse"</formula1>
    </dataValidation>
    <dataValidation sqref="P23" showDropDown="0" showInputMessage="0" showErrorMessage="0" allowBlank="1" type="list">
      <formula1>"Production,Preprod,Local"</formula1>
    </dataValidation>
    <dataValidation sqref="I24" showDropDown="0" showInputMessage="0" showErrorMessage="0" allowBlank="1" type="list">
      <formula1>"✅ Passé,❌ Échoué,⚠️ Bloqué,▶️ En cours,⬜ Non exécuté"</formula1>
    </dataValidation>
    <dataValidation sqref="B24" showDropDown="0" showInputMessage="0" showErrorMessage="0" allowBlank="1" type="list">
      <formula1>"P1 — Critique,P2 — Haute,P3 — Moyenne,P4 — Basse"</formula1>
    </dataValidation>
    <dataValidation sqref="P24" showDropDown="0" showInputMessage="0" showErrorMessage="0" allowBlank="1" type="list">
      <formula1>"Production,Preprod,Local"</formula1>
    </dataValidation>
    <dataValidation sqref="I25" showDropDown="0" showInputMessage="0" showErrorMessage="0" allowBlank="1" type="list">
      <formula1>"✅ Passé,❌ Échoué,⚠️ Bloqué,▶️ En cours,⬜ Non exécuté"</formula1>
    </dataValidation>
    <dataValidation sqref="B25" showDropDown="0" showInputMessage="0" showErrorMessage="0" allowBlank="1" type="list">
      <formula1>"P1 — Critique,P2 — Haute,P3 — Moyenne,P4 — Basse"</formula1>
    </dataValidation>
    <dataValidation sqref="P25" showDropDown="0" showInputMessage="0" showErrorMessage="0" allowBlank="1" type="list">
      <formula1>"Production,Preprod,Local"</formula1>
    </dataValidation>
    <dataValidation sqref="I26:I41" showDropDown="0" showInputMessage="0" showErrorMessage="0" allowBlank="1" type="list">
      <formula1>"✅ Passé,❌ Échoué,⚠️ Bloqué,▶️ En cours,⬜ Non exécuté"</formula1>
    </dataValidation>
    <dataValidation sqref="B26:B41" showDropDown="0" showInputMessage="0" showErrorMessage="0" allowBlank="1" type="list">
      <formula1>"P1 — Critique,P2 — Haute,P3 — Moyenne,P4 — Basse"</formula1>
    </dataValidation>
    <dataValidation sqref="P26:P41" showDropDown="0" showInputMessage="0" showErrorMessage="0" allowBlank="1" type="list">
      <formula1>"Production,Preprod,Local"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38" customWidth="1" min="3" max="3"/>
    <col width="32" customWidth="1" min="4" max="4"/>
    <col width="30" customWidth="1" min="5" max="5"/>
    <col width="40" customWidth="1" min="6" max="6"/>
    <col width="38" customWidth="1" min="7" max="7"/>
    <col width="38" customWidth="1" min="8" max="8"/>
    <col width="18" customWidth="1" min="9" max="9"/>
    <col width="16" customWidth="1" min="10" max="10"/>
    <col width="13" customWidth="1" min="11" max="11"/>
    <col width="12" customWidth="1" min="12" max="12"/>
    <col width="24" customWidth="1" min="13" max="13"/>
    <col width="36" customWidth="1" min="14" max="14"/>
    <col width="10" customWidth="1" min="15" max="15"/>
    <col width="12" customWidth="1" min="16" max="16"/>
  </cols>
  <sheetData>
    <row r="1" ht="26" customHeight="1">
      <c r="A1" s="48" t="inlineStr">
        <is>
          <t xml:space="preserve">  GESTION DES EMPLOYÉS  ·  32 scénarios</t>
        </is>
      </c>
    </row>
    <row r="2" ht="22" customHeight="1">
      <c r="A2" s="39" t="inlineStr">
        <is>
          <t>ID Test</t>
        </is>
      </c>
      <c r="B2" s="39" t="inlineStr">
        <is>
          <t>Priorité</t>
        </is>
      </c>
      <c r="C2" s="39" t="inlineStr">
        <is>
          <t>Titre du scénario</t>
        </is>
      </c>
      <c r="D2" s="39" t="inlineStr">
        <is>
          <t>Description / Contexte</t>
        </is>
      </c>
      <c r="E2" s="39" t="inlineStr">
        <is>
          <t>Prérequis / Données</t>
        </is>
      </c>
      <c r="F2" s="39" t="inlineStr">
        <is>
          <t>Étapes détaillées</t>
        </is>
      </c>
      <c r="G2" s="39" t="inlineStr">
        <is>
          <t>Résultat attendu</t>
        </is>
      </c>
      <c r="H2" s="39" t="inlineStr">
        <is>
          <t>Résultat obtenu</t>
        </is>
      </c>
      <c r="I2" s="39" t="inlineStr">
        <is>
          <t>Statut</t>
        </is>
      </c>
      <c r="J2" s="39" t="inlineStr">
        <is>
          <t>Testeur</t>
        </is>
      </c>
      <c r="K2" s="39" t="inlineStr">
        <is>
          <t>Date test</t>
        </is>
      </c>
      <c r="L2" s="39" t="inlineStr">
        <is>
          <t>Durée (min)</t>
        </is>
      </c>
      <c r="M2" s="39" t="inlineStr">
        <is>
          <t>Ticket / Requalification</t>
        </is>
      </c>
      <c r="N2" s="39" t="inlineStr">
        <is>
          <t>Commentaire / Amélioration</t>
        </is>
      </c>
      <c r="O2" s="39" t="inlineStr">
        <is>
          <t>Sprint</t>
        </is>
      </c>
      <c r="P2" s="39" t="inlineStr">
        <is>
          <t>Env.</t>
        </is>
      </c>
    </row>
    <row r="3" ht="58" customHeight="1">
      <c r="A3" s="49" t="inlineStr">
        <is>
          <t>EMP-001</t>
        </is>
      </c>
      <c r="B3" s="40" t="inlineStr">
        <is>
          <t>P1 — Critique</t>
        </is>
      </c>
      <c r="C3" s="41" t="inlineStr">
        <is>
          <t>Création employé — champs obligatoires</t>
        </is>
      </c>
      <c r="D3" s="41" t="inlineStr">
        <is>
          <t>Prénom, nom, email, département, poste, salaire brut FCFA</t>
        </is>
      </c>
      <c r="E3" s="41" t="inlineStr">
        <is>
          <t>Admin connecté, département créé</t>
        </is>
      </c>
      <c r="F3" s="41" t="inlineStr">
        <is>
          <t>1. /employees/new
2. Remplir tous les champs requis
3. Sauvegarder</t>
        </is>
      </c>
      <c r="G3" s="41" t="inlineStr">
        <is>
          <t>Employé créé, visible dans la liste, aucune décimale dans le salaire</t>
        </is>
      </c>
      <c r="H3" s="41" t="inlineStr">
        <is>
          <t>Live: POST /employees valide -&gt; 201 {data:{id, first_name, base_salary...}} ; employe visible en liste ; base_salary stocke en numeric(12,0) = entier (zero decimale). Champs requis: firstName, lastName, baseSalary (&gt;=75000 SMIG CI).</t>
        </is>
      </c>
      <c r="I3" s="42" t="inlineStr">
        <is>
          <t>✅ Passé</t>
        </is>
      </c>
      <c r="J3" s="41" t="inlineStr">
        <is>
          <t>Agents IA + live</t>
        </is>
      </c>
      <c r="K3" s="41" t="inlineStr">
        <is>
          <t>23/06/2026</t>
        </is>
      </c>
      <c r="L3" s="41" t="inlineStr"/>
      <c r="M3" s="41" t="inlineStr"/>
      <c r="N3" s="41" t="inlineStr"/>
      <c r="O3" s="41" t="inlineStr">
        <is>
          <t>Sprint 1</t>
        </is>
      </c>
      <c r="P3" s="41" t="inlineStr">
        <is>
          <t>Production</t>
        </is>
      </c>
    </row>
    <row r="4" ht="58" customHeight="1">
      <c r="A4" s="49" t="inlineStr">
        <is>
          <t>EMP-002</t>
        </is>
      </c>
      <c r="B4" s="40" t="inlineStr">
        <is>
          <t>P1 — Critique</t>
        </is>
      </c>
      <c r="C4" s="43" t="inlineStr">
        <is>
          <t>Email employé unique dans le tenant</t>
        </is>
      </c>
      <c r="D4" s="43" t="inlineStr"/>
      <c r="E4" s="43" t="inlineStr"/>
      <c r="F4" s="43" t="inlineStr">
        <is>
          <t>1. Créer 2 employés avec le même email</t>
        </is>
      </c>
      <c r="G4" s="43" t="inlineStr">
        <is>
          <t>Erreur 409, message 'Email déjà utilisé dans ce tenant'</t>
        </is>
      </c>
      <c r="H4" s="41" t="inlineStr">
        <is>
          <t>Doublon email -&gt; 409 (contrainte UNIQUE(email) intra-schema, catch 23505). Message: 'Un employe avec cet email existe deja.' (libelle canonique, coherent avec EMP-102 non-regression).</t>
        </is>
      </c>
      <c r="I4" s="42" t="inlineStr">
        <is>
          <t>✅ Passé</t>
        </is>
      </c>
      <c r="J4" s="41" t="inlineStr">
        <is>
          <t>Agents IA + live</t>
        </is>
      </c>
      <c r="K4" s="41" t="inlineStr">
        <is>
          <t>23/06/2026</t>
        </is>
      </c>
      <c r="L4" s="43" t="inlineStr"/>
      <c r="M4" s="43" t="inlineStr"/>
      <c r="N4" s="43" t="inlineStr"/>
      <c r="O4" s="43" t="inlineStr">
        <is>
          <t>Sprint 1</t>
        </is>
      </c>
      <c r="P4" s="43" t="inlineStr">
        <is>
          <t>Production</t>
        </is>
      </c>
    </row>
    <row r="5" ht="58" customHeight="1">
      <c r="A5" s="49" t="inlineStr">
        <is>
          <t>EMP-003</t>
        </is>
      </c>
      <c r="B5" s="44" t="inlineStr">
        <is>
          <t>P2 — Haute</t>
        </is>
      </c>
      <c r="C5" s="41" t="inlineStr">
        <is>
          <t>Validation NNI — format ivoirien</t>
        </is>
      </c>
      <c r="D5" s="41" t="inlineStr">
        <is>
          <t>Format CI + 9 chiffres</t>
        </is>
      </c>
      <c r="E5" s="41" t="inlineStr"/>
      <c r="F5" s="41" t="inlineStr">
        <is>
          <t>1. Saisir NNI 'CI123456789'
2. Saisir NNI invalide 'AB12'</t>
        </is>
      </c>
      <c r="G5" s="41" t="inlineStr">
        <is>
          <t>NNI valide accepté, NNI invalide rejeté avec message d'erreur</t>
        </is>
      </c>
      <c r="H5" s="41" t="inlineStr">
        <is>
          <t>CORRIGE: le NNI n'avait aucune validation de format (seulement max(50)). Ajout regex /^CId{9,13}$/ : 'CI123456789' accepte, 'AB12' rejete avec message clair. NNI chiffre AES (RGPD). (Avant: 'AB12' echouait par accident en 22001 longueur ciphertext, message trompeur.)</t>
        </is>
      </c>
      <c r="I5" s="42" t="inlineStr">
        <is>
          <t>✅ Passé</t>
        </is>
      </c>
      <c r="J5" s="41" t="inlineStr">
        <is>
          <t>Agents IA + correctif</t>
        </is>
      </c>
      <c r="K5" s="41" t="inlineStr">
        <is>
          <t>23/06/2026</t>
        </is>
      </c>
      <c r="L5" s="41" t="inlineStr"/>
      <c r="M5" s="41" t="inlineStr"/>
      <c r="N5" s="41" t="inlineStr"/>
      <c r="O5" s="41" t="inlineStr">
        <is>
          <t>Sprint 1</t>
        </is>
      </c>
      <c r="P5" s="41" t="inlineStr">
        <is>
          <t>Production</t>
        </is>
      </c>
    </row>
    <row r="6" ht="58" customHeight="1">
      <c r="A6" s="49" t="inlineStr">
        <is>
          <t>EMP-004</t>
        </is>
      </c>
      <c r="B6" s="44" t="inlineStr">
        <is>
          <t>P2 — Haute</t>
        </is>
      </c>
      <c r="C6" s="43" t="inlineStr">
        <is>
          <t>Validation CNPS — format CI</t>
        </is>
      </c>
      <c r="D6" s="43" t="inlineStr">
        <is>
          <t>Format CI + 8 chiffres + lettre</t>
        </is>
      </c>
      <c r="E6" s="43" t="inlineStr"/>
      <c r="F6" s="43" t="inlineStr">
        <is>
          <t>1. Saisir CI12345678A (valide)
2. Saisir 12345 (invalide)</t>
        </is>
      </c>
      <c r="G6" s="43" t="inlineStr">
        <is>
          <t>Valide accepté, invalide rejeté</t>
        </is>
      </c>
      <c r="H6" s="41" t="inlineStr">
        <is>
          <t>CORRIGE: le numero CNPS n'avait aucune validation. Ajout regex /^CId{8}[A-Z]$/ : 'CI12345678A' accepte, '12345' rejete avec message.</t>
        </is>
      </c>
      <c r="I6" s="42" t="inlineStr">
        <is>
          <t>✅ Passé</t>
        </is>
      </c>
      <c r="J6" s="41" t="inlineStr">
        <is>
          <t>Agents IA + correctif</t>
        </is>
      </c>
      <c r="K6" s="41" t="inlineStr">
        <is>
          <t>23/06/2026</t>
        </is>
      </c>
      <c r="L6" s="43" t="inlineStr"/>
      <c r="M6" s="43" t="inlineStr"/>
      <c r="N6" s="43" t="inlineStr"/>
      <c r="O6" s="43" t="inlineStr">
        <is>
          <t>Sprint 1</t>
        </is>
      </c>
      <c r="P6" s="43" t="inlineStr">
        <is>
          <t>Production</t>
        </is>
      </c>
    </row>
    <row r="7" ht="58" customHeight="1">
      <c r="A7" s="49" t="inlineStr">
        <is>
          <t>EMP-005</t>
        </is>
      </c>
      <c r="B7" s="44" t="inlineStr">
        <is>
          <t>P2 — Haute</t>
        </is>
      </c>
      <c r="C7" s="41" t="inlineStr">
        <is>
          <t>Validation téléphone Mobile Money CI</t>
        </is>
      </c>
      <c r="D7" s="41" t="inlineStr">
        <is>
          <t>+225 07/05 + 8 chiffres</t>
        </is>
      </c>
      <c r="E7" s="41" t="inlineStr"/>
      <c r="F7" s="41" t="inlineStr">
        <is>
          <t>1. Saisir +225 07 12 34 56 78 (valide)
2. Saisir +33 6 12 (invalide)</t>
        </is>
      </c>
      <c r="G7" s="41" t="inlineStr">
        <is>
          <t>Format CI accepté, autre rejeté</t>
        </is>
      </c>
      <c r="H7" s="41" t="inlineStr">
        <is>
          <t>CORRIGE: le telephone Mobile Money n'etait pas valide a la saisie. Ajout validation indicatif AFRICAIN (CEDEAO+CEMAC+RDC : CI/BF/ML/NE/SN/TD/CG/RDC/CM...) car les employes peuvent venir de toute la zone ; +225/+226/+223/+235/+242 acceptes, +33/+1 rejetes ; espaces tolerees.</t>
        </is>
      </c>
      <c r="I7" s="42" t="inlineStr">
        <is>
          <t>✅ Passé</t>
        </is>
      </c>
      <c r="J7" s="41" t="inlineStr">
        <is>
          <t>Agents IA + correctif</t>
        </is>
      </c>
      <c r="K7" s="41" t="inlineStr">
        <is>
          <t>23/06/2026</t>
        </is>
      </c>
      <c r="L7" s="41" t="inlineStr"/>
      <c r="M7" s="41" t="inlineStr"/>
      <c r="N7" s="41" t="inlineStr"/>
      <c r="O7" s="41" t="inlineStr">
        <is>
          <t>Sprint 1</t>
        </is>
      </c>
      <c r="P7" s="41" t="inlineStr">
        <is>
          <t>Production</t>
        </is>
      </c>
    </row>
    <row r="8" ht="58" customHeight="1">
      <c r="A8" s="49" t="inlineStr">
        <is>
          <t>EMP-006</t>
        </is>
      </c>
      <c r="B8" s="40" t="inlineStr">
        <is>
          <t>P1 — Critique</t>
        </is>
      </c>
      <c r="C8" s="43" t="inlineStr">
        <is>
          <t>Liste employés — pagination</t>
        </is>
      </c>
      <c r="D8" s="43" t="inlineStr">
        <is>
          <t>Affichage par page avec navigation</t>
        </is>
      </c>
      <c r="E8" s="43" t="inlineStr">
        <is>
          <t>80+ employés SOTRA</t>
        </is>
      </c>
      <c r="F8" s="43" t="inlineStr">
        <is>
          <t>1. Accéder /employees</t>
        </is>
      </c>
      <c r="G8" s="43" t="inlineStr">
        <is>
          <t>Pagination fonctionnelle, 20-50 par page, nombre total affiché</t>
        </is>
      </c>
      <c r="H8" s="41" t="inlineStr">
        <is>
          <t>CORRIGE: la liste renvoyait TOUS les employes (total=taille page). GET /employees pagine desormais (page/limit + COUNT reel) ; barre de pagination UI (prec/suiv + plage X-Y / total). Le total affiche est le vrai nombre du tenant (80+).</t>
        </is>
      </c>
      <c r="I8" s="42" t="inlineStr">
        <is>
          <t>✅ Passé</t>
        </is>
      </c>
      <c r="J8" s="41" t="inlineStr">
        <is>
          <t>Agents IA + correctif</t>
        </is>
      </c>
      <c r="K8" s="41" t="inlineStr">
        <is>
          <t>23/06/2026</t>
        </is>
      </c>
      <c r="L8" s="43" t="inlineStr"/>
      <c r="M8" s="43" t="inlineStr"/>
      <c r="N8" s="43" t="inlineStr"/>
      <c r="O8" s="43" t="inlineStr">
        <is>
          <t>Sprint 1</t>
        </is>
      </c>
      <c r="P8" s="43" t="inlineStr">
        <is>
          <t>Production</t>
        </is>
      </c>
    </row>
    <row r="9" ht="58" customHeight="1">
      <c r="A9" s="49" t="inlineStr">
        <is>
          <t>EMP-007</t>
        </is>
      </c>
      <c r="B9" s="40" t="inlineStr">
        <is>
          <t>P1 — Critique</t>
        </is>
      </c>
      <c r="C9" s="41" t="inlineStr">
        <is>
          <t>Recherche employé par nom</t>
        </is>
      </c>
      <c r="D9" s="41" t="inlineStr">
        <is>
          <t>Champ de recherche filtrant en temps réel</t>
        </is>
      </c>
      <c r="E9" s="41" t="inlineStr"/>
      <c r="F9" s="41" t="inlineStr">
        <is>
          <t>1. Taper 'Kouassi' dans la recherche</t>
        </is>
      </c>
      <c r="G9" s="41" t="inlineStr">
        <is>
          <t>Liste filtrée aux employés correspondants</t>
        </is>
      </c>
      <c r="H9" s="41" t="inlineStr">
        <is>
          <t>Recherche par nom OK (live: 'Camara' -&gt; 1 resultat). Backend ILIKE parametre (anti-injection) sur prenom/nom/cnps. Reserve mineure: pas de debounce (1 requete par frappe), non bloquant.</t>
        </is>
      </c>
      <c r="I9" s="42" t="inlineStr">
        <is>
          <t>✅ Passé</t>
        </is>
      </c>
      <c r="J9" s="41" t="inlineStr">
        <is>
          <t>Agents IA + live</t>
        </is>
      </c>
      <c r="K9" s="41" t="inlineStr">
        <is>
          <t>23/06/2026</t>
        </is>
      </c>
      <c r="L9" s="41" t="inlineStr"/>
      <c r="M9" s="41" t="inlineStr"/>
      <c r="N9" s="41" t="inlineStr"/>
      <c r="O9" s="41" t="inlineStr">
        <is>
          <t>Sprint 1</t>
        </is>
      </c>
      <c r="P9" s="41" t="inlineStr">
        <is>
          <t>Production</t>
        </is>
      </c>
    </row>
    <row r="10" ht="58" customHeight="1">
      <c r="A10" s="49" t="inlineStr">
        <is>
          <t>EMP-008</t>
        </is>
      </c>
      <c r="B10" s="44" t="inlineStr">
        <is>
          <t>P2 — Haute</t>
        </is>
      </c>
      <c r="C10" s="43" t="inlineStr">
        <is>
          <t>Filtrage par département</t>
        </is>
      </c>
      <c r="D10" s="43" t="inlineStr">
        <is>
          <t>Sélecteur département</t>
        </is>
      </c>
      <c r="E10" s="43" t="inlineStr"/>
      <c r="F10" s="43" t="inlineStr">
        <is>
          <t>1. Sélectionner département 'Exploitation'
2. Observer la liste</t>
        </is>
      </c>
      <c r="G10" s="43" t="inlineStr">
        <is>
          <t>Seuls les employés du département Exploitation affichés</t>
        </is>
      </c>
      <c r="H10" s="41" t="inlineStr">
        <is>
          <t>CORRIGE: le filtre departement existait cote API (live OK: meme dept) mais aucun selecteur UI. Ajout d'un &lt;select&gt; departement (alimente par /employees/departments) cable a la requete, reset page au changement.</t>
        </is>
      </c>
      <c r="I10" s="42" t="inlineStr">
        <is>
          <t>✅ Passé</t>
        </is>
      </c>
      <c r="J10" s="41" t="inlineStr">
        <is>
          <t>Agents IA + correctif</t>
        </is>
      </c>
      <c r="K10" s="41" t="inlineStr">
        <is>
          <t>23/06/2026</t>
        </is>
      </c>
      <c r="L10" s="43" t="inlineStr"/>
      <c r="M10" s="43" t="inlineStr"/>
      <c r="N10" s="43" t="inlineStr"/>
      <c r="O10" s="43" t="inlineStr">
        <is>
          <t>Sprint 1</t>
        </is>
      </c>
      <c r="P10" s="43" t="inlineStr">
        <is>
          <t>Production</t>
        </is>
      </c>
    </row>
    <row r="11" ht="58" customHeight="1">
      <c r="A11" s="49" t="inlineStr">
        <is>
          <t>EMP-009</t>
        </is>
      </c>
      <c r="B11" s="40" t="inlineStr">
        <is>
          <t>P1 — Critique</t>
        </is>
      </c>
      <c r="C11" s="41" t="inlineStr">
        <is>
          <t>Fiche employé — consultation</t>
        </is>
      </c>
      <c r="D11" s="41" t="inlineStr">
        <is>
          <t>Tous les champs visibles</t>
        </is>
      </c>
      <c r="E11" s="41" t="inlineStr"/>
      <c r="F11" s="41" t="inlineStr">
        <is>
          <t>1. Cliquer sur un employé dans la liste</t>
        </is>
      </c>
      <c r="G11" s="41" t="inlineStr">
        <is>
          <t>Fiche complète: identité, poste, salaire FCFA, NNI, CNPS, Mobile Money, ancienneté calculée</t>
        </is>
      </c>
      <c r="H11" s="41" t="inlineStr">
        <is>
          <t>CORRIGE: fiche complete (identite, poste, salaire FCFA, NNI dechiffre par role RH, CNPS, Mobile Money) mais ANCIENNETE non calculee. GET /employees/:id renvoie seniority_months + seniority_label (calcul depuis hire_date), affichee dans la fiche. (NB: nni null sur donnees seedees = seed-demo n'encrypte pas le nni - mineur.)</t>
        </is>
      </c>
      <c r="I11" s="42" t="inlineStr">
        <is>
          <t>✅ Passé</t>
        </is>
      </c>
      <c r="J11" s="41" t="inlineStr">
        <is>
          <t>Agents IA + correctif</t>
        </is>
      </c>
      <c r="K11" s="41" t="inlineStr">
        <is>
          <t>23/06/2026</t>
        </is>
      </c>
      <c r="L11" s="41" t="inlineStr"/>
      <c r="M11" s="41" t="inlineStr"/>
      <c r="N11" s="41" t="inlineStr"/>
      <c r="O11" s="41" t="inlineStr">
        <is>
          <t>Sprint 1</t>
        </is>
      </c>
      <c r="P11" s="41" t="inlineStr">
        <is>
          <t>Production</t>
        </is>
      </c>
    </row>
    <row r="12" ht="58" customHeight="1">
      <c r="A12" s="49" t="inlineStr">
        <is>
          <t>EMP-010</t>
        </is>
      </c>
      <c r="B12" s="40" t="inlineStr">
        <is>
          <t>P1 — Critique</t>
        </is>
      </c>
      <c r="C12" s="43" t="inlineStr">
        <is>
          <t>Modification employé</t>
        </is>
      </c>
      <c r="D12" s="43" t="inlineStr">
        <is>
          <t>Mise à jour des données</t>
        </is>
      </c>
      <c r="E12" s="43" t="inlineStr"/>
      <c r="F12" s="43" t="inlineStr">
        <is>
          <t>1. Ouvrir fiche
2. Modifier salaire
3. Sauvegarder</t>
        </is>
      </c>
      <c r="G12" s="43" t="inlineStr">
        <is>
          <t>Données mises à jour, historique hr_events enregistré</t>
        </is>
      </c>
      <c r="H12" s="41" t="inlineStr">
        <is>
          <t>CORRIGE: modifier le salaire (live: PATCH 200, salaire mis a jour) ne creait AUCUN hr_events. PATCH /employees/:id capture l'ancien salaire et insere un hr_events (augmentation/salary_change avec ancien/nouveau montant, non bloquant). Historique RH desormais alimente.</t>
        </is>
      </c>
      <c r="I12" s="42" t="inlineStr">
        <is>
          <t>✅ Passé</t>
        </is>
      </c>
      <c r="J12" s="41" t="inlineStr">
        <is>
          <t>Agents IA + correctif</t>
        </is>
      </c>
      <c r="K12" s="41" t="inlineStr">
        <is>
          <t>23/06/2026</t>
        </is>
      </c>
      <c r="L12" s="43" t="inlineStr"/>
      <c r="M12" s="43" t="inlineStr"/>
      <c r="N12" s="43" t="inlineStr"/>
      <c r="O12" s="43" t="inlineStr">
        <is>
          <t>Sprint 1</t>
        </is>
      </c>
      <c r="P12" s="43" t="inlineStr">
        <is>
          <t>Production</t>
        </is>
      </c>
    </row>
    <row r="13" ht="58" customHeight="1">
      <c r="A13" s="49" t="inlineStr">
        <is>
          <t>EMP-011</t>
        </is>
      </c>
      <c r="B13" s="44" t="inlineStr">
        <is>
          <t>P2 — Haute</t>
        </is>
      </c>
      <c r="C13" s="41" t="inlineStr">
        <is>
          <t>Désactivation employé</t>
        </is>
      </c>
      <c r="D13" s="41" t="inlineStr">
        <is>
          <t>is_active = false, employé absent des listings actifs</t>
        </is>
      </c>
      <c r="E13" s="41" t="inlineStr"/>
      <c r="F13" s="41" t="inlineStr">
        <is>
          <t>1. Fiche employé → Désactiver</t>
        </is>
      </c>
      <c r="G13" s="41" t="inlineStr">
        <is>
          <t>Employé marqué inactif, n'apparaît plus dans liste active</t>
        </is>
      </c>
      <c r="H13" s="41" t="inlineStr">
        <is>
          <t>Live: PATCH /employees/:id isActive=false -&gt; l'employe disparait de la liste active (GET ?isActive=true ne le contient plus). Le compte user lie est aussi desactive (cf. DELETE/archive employe).</t>
        </is>
      </c>
      <c r="I13" s="42" t="inlineStr">
        <is>
          <t>✅ Passé</t>
        </is>
      </c>
      <c r="J13" s="41" t="inlineStr">
        <is>
          <t>Agents IA + live</t>
        </is>
      </c>
      <c r="K13" s="41" t="inlineStr">
        <is>
          <t>23/06/2026</t>
        </is>
      </c>
      <c r="L13" s="41" t="inlineStr"/>
      <c r="M13" s="41" t="inlineStr"/>
      <c r="N13" s="41" t="inlineStr"/>
      <c r="O13" s="41" t="inlineStr">
        <is>
          <t>Sprint 1</t>
        </is>
      </c>
      <c r="P13" s="41" t="inlineStr">
        <is>
          <t>Production</t>
        </is>
      </c>
    </row>
    <row r="14" ht="58" customHeight="1">
      <c r="A14" s="49" t="inlineStr">
        <is>
          <t>EMP-012</t>
        </is>
      </c>
      <c r="B14" s="44" t="inlineStr">
        <is>
          <t>P2 — Haute</t>
        </is>
      </c>
      <c r="C14" s="43" t="inlineStr">
        <is>
          <t>Calcul ancienneté affiché</t>
        </is>
      </c>
      <c r="D14" s="43" t="inlineStr">
        <is>
          <t>Années et mois depuis hire_date</t>
        </is>
      </c>
      <c r="E14" s="43" t="inlineStr"/>
      <c r="F14" s="43" t="inlineStr">
        <is>
          <t>1. Ouvrir fiche employé embauché il y a 3 ans 2 mois</t>
        </is>
      </c>
      <c r="G14" s="43" t="inlineStr">
        <is>
          <t>Affiche '3 ans 2 mois' correctement</t>
        </is>
      </c>
      <c r="H14" s="41" t="inlineStr">
        <is>
          <t>Live: employe embauche le 2023-04-23 (il y a 3 ans 2 mois) -&gt; GET /employees/:id renvoie seniority_months=38, seniority_label='3 an(s) 2 mois' ; affiche correctement dans la fiche. (Corrige via EMP-009.)</t>
        </is>
      </c>
      <c r="I14" s="42" t="inlineStr">
        <is>
          <t>✅ Passé</t>
        </is>
      </c>
      <c r="J14" s="41" t="inlineStr">
        <is>
          <t>Agents IA + live</t>
        </is>
      </c>
      <c r="K14" s="41" t="inlineStr">
        <is>
          <t>23/06/2026</t>
        </is>
      </c>
      <c r="L14" s="43" t="inlineStr"/>
      <c r="M14" s="43" t="inlineStr"/>
      <c r="N14" s="43" t="inlineStr"/>
      <c r="O14" s="43" t="inlineStr">
        <is>
          <t>Sprint 1</t>
        </is>
      </c>
      <c r="P14" s="43" t="inlineStr">
        <is>
          <t>Production</t>
        </is>
      </c>
    </row>
    <row r="15" ht="58" customHeight="1">
      <c r="A15" s="49" t="inlineStr">
        <is>
          <t>EMP-013</t>
        </is>
      </c>
      <c r="B15" s="45" t="inlineStr">
        <is>
          <t>P3 — Moyenne</t>
        </is>
      </c>
      <c r="C15" s="41" t="inlineStr">
        <is>
          <t>Import CSV employés</t>
        </is>
      </c>
      <c r="D15" s="41" t="inlineStr">
        <is>
          <t>Upload d'un fichier CSV pour création en masse</t>
        </is>
      </c>
      <c r="E15" s="41" t="inlineStr">
        <is>
          <t>Fichier CSV valide préparé</t>
        </is>
      </c>
      <c r="F15" s="41" t="inlineStr">
        <is>
          <t>1. /employees/import
2. Uploader CSV
3. Valider</t>
        </is>
      </c>
      <c r="G15" s="41" t="inlineStr">
        <is>
          <t>Employés créés en masse, rapport d'import (succès/erreurs)</t>
        </is>
      </c>
      <c r="H15" s="41" t="inlineStr">
        <is>
          <t>CORRIGE (decouvrabilite): l'import CSV de masse EXISTE et fonctionne (Parametres &gt; Reprise de donnees, POST /settings/import/employees : creation en masse + rapport succes/erreurs par ligne, chiffrement IBAN, RBAC). Ajout d'un bouton 'Importer' sur la page Employes qui ouvre l'onglet d'import (/settings?tab=data-import).</t>
        </is>
      </c>
      <c r="I15" s="42" t="inlineStr">
        <is>
          <t>✅ Passé</t>
        </is>
      </c>
      <c r="J15" s="41" t="inlineStr">
        <is>
          <t>Agents IA + correctif</t>
        </is>
      </c>
      <c r="K15" s="41" t="inlineStr">
        <is>
          <t>23/06/2026</t>
        </is>
      </c>
      <c r="L15" s="41" t="inlineStr"/>
      <c r="M15" s="41" t="inlineStr"/>
      <c r="N15" s="41" t="inlineStr"/>
      <c r="O15" s="41" t="inlineStr">
        <is>
          <t>Sprint 1</t>
        </is>
      </c>
      <c r="P15" s="41" t="inlineStr">
        <is>
          <t>Production</t>
        </is>
      </c>
    </row>
    <row r="16" ht="58" customHeight="1">
      <c r="A16" s="49" t="inlineStr">
        <is>
          <t>EMP-014</t>
        </is>
      </c>
      <c r="B16" s="45" t="inlineStr">
        <is>
          <t>P3 — Moyenne</t>
        </is>
      </c>
      <c r="C16" s="43" t="inlineStr">
        <is>
          <t>Export liste employés</t>
        </is>
      </c>
      <c r="D16" s="43" t="inlineStr">
        <is>
          <t>Téléchargement CSV/Excel</t>
        </is>
      </c>
      <c r="E16" s="43" t="inlineStr"/>
      <c r="F16" s="43" t="inlineStr">
        <is>
          <t>1. Bouton Export dans la liste
2. Choisir format</t>
        </is>
      </c>
      <c r="G16" s="43" t="inlineStr">
        <is>
          <t>Fichier téléchargé avec tous les champs, encodage UTF-8, FCFA entiers</t>
        </is>
      </c>
      <c r="H16" s="41" t="inlineStr">
        <is>
          <t>CORRIGE: aucun export de la liste. Ajout GET /employees/export.csv (BOM UTF-8 pour Excel FR, anti-injection CSV via encodeField, salaires FCFA ENTIERS via Math.round, NNI/IBAN EXCLUS pour RGPD) + bouton 'Exporter' (telechargement blob). RBAC admin/hr_manager/hr_officer.</t>
        </is>
      </c>
      <c r="I16" s="42" t="inlineStr">
        <is>
          <t>✅ Passé</t>
        </is>
      </c>
      <c r="J16" s="41" t="inlineStr">
        <is>
          <t>Agents IA + correctif</t>
        </is>
      </c>
      <c r="K16" s="41" t="inlineStr">
        <is>
          <t>23/06/2026</t>
        </is>
      </c>
      <c r="L16" s="43" t="inlineStr"/>
      <c r="M16" s="43" t="inlineStr"/>
      <c r="N16" s="43" t="inlineStr"/>
      <c r="O16" s="43" t="inlineStr">
        <is>
          <t>Sprint 1</t>
        </is>
      </c>
      <c r="P16" s="43" t="inlineStr">
        <is>
          <t>Production</t>
        </is>
      </c>
    </row>
    <row r="17" ht="58" customHeight="1">
      <c r="A17" s="49" t="inlineStr">
        <is>
          <t>EMP-015</t>
        </is>
      </c>
      <c r="B17" s="45" t="inlineStr">
        <is>
          <t>P3 — Moyenne</t>
        </is>
      </c>
      <c r="C17" s="41" t="inlineStr">
        <is>
          <t>Upload photo profil</t>
        </is>
      </c>
      <c r="D17" s="41" t="inlineStr">
        <is>
          <t>Image recadrée et sauvegardée</t>
        </is>
      </c>
      <c r="E17" s="41" t="inlineStr"/>
      <c r="F17" s="41" t="inlineStr">
        <is>
          <t>1. Fiche employé → Photo
2. Uploader une image
3. Recadrer
4. Sauvegarder</t>
        </is>
      </c>
      <c r="G17" s="41" t="inlineStr">
        <is>
          <t>Photo visible dans la fiche et dans le header</t>
        </is>
      </c>
      <c r="H17" s="41" t="inlineStr">
        <is>
          <t>CORRIGE: aucune photo de profil (champ existait mais ni endpoint, ni UI, ni affichage). Ajout POST /employees/:id/photo (multipart, allowlist PNG/JPEG/WEBP/GIF, max 2Mo, RBAC RH+self, SVG exclu anti-XSS) + l'avatar de la fiche affiche la VRAIE photo (fallback initiales) avec bouton d'upload (icone appareil photo). Recadrage avance non inclus (P3).</t>
        </is>
      </c>
      <c r="I17" s="42" t="inlineStr">
        <is>
          <t>✅ Passé</t>
        </is>
      </c>
      <c r="J17" s="41" t="inlineStr">
        <is>
          <t>Agents IA + correctif</t>
        </is>
      </c>
      <c r="K17" s="41" t="inlineStr">
        <is>
          <t>23/06/2026</t>
        </is>
      </c>
      <c r="L17" s="41" t="inlineStr"/>
      <c r="M17" s="41" t="inlineStr"/>
      <c r="N17" s="41" t="inlineStr"/>
      <c r="O17" s="41" t="inlineStr">
        <is>
          <t>Sprint 1</t>
        </is>
      </c>
      <c r="P17" s="41" t="inlineStr">
        <is>
          <t>Production</t>
        </is>
      </c>
    </row>
    <row r="18" ht="58" customHeight="1">
      <c r="A18" s="49" t="inlineStr">
        <is>
          <t>EMP-016</t>
        </is>
      </c>
      <c r="B18" s="40" t="inlineStr">
        <is>
          <t>P1 — Critique</t>
        </is>
      </c>
      <c r="C18" s="43" t="inlineStr">
        <is>
          <t>Manager ne voit que son équipe</t>
        </is>
      </c>
      <c r="D18" s="43" t="inlineStr">
        <is>
          <t>Filtrage automatique par department_id du manager</t>
        </is>
      </c>
      <c r="E18" s="43" t="inlineStr">
        <is>
          <t>manager@sotra.ci lié à département Exploitation</t>
        </is>
      </c>
      <c r="F18" s="43" t="inlineStr">
        <is>
          <t>1. Connecter manager@sotra.ci
2. Accéder /employees</t>
        </is>
      </c>
      <c r="G18" s="43" t="inlineStr">
        <is>
          <t>Seuls les employés de son département listés</t>
        </is>
      </c>
      <c r="H18" s="41" t="inlineStr">
        <is>
          <t>Manager filtre fail-closed: ne voit que son EQUIPE DIRECTE (e.manager_id = id de l'employe lie au manager via email du JWT). Si pas de dossier lie -&gt; liste vide/403 (pas tout le tenant). COUNT partage le meme WHERE. Fiche /:id refuse aussi hors-equipe (403). NNI/IBAN masques au manager.</t>
        </is>
      </c>
      <c r="I18" s="42" t="inlineStr">
        <is>
          <t>✅ Passé</t>
        </is>
      </c>
      <c r="J18" s="41" t="inlineStr">
        <is>
          <t>Agents IA (code)</t>
        </is>
      </c>
      <c r="K18" s="41" t="inlineStr">
        <is>
          <t>23/06/2026</t>
        </is>
      </c>
      <c r="L18" s="43" t="inlineStr"/>
      <c r="M18" s="43" t="inlineStr"/>
      <c r="N18" s="43" t="inlineStr"/>
      <c r="O18" s="43" t="inlineStr">
        <is>
          <t>Sprint 1</t>
        </is>
      </c>
      <c r="P18" s="43" t="inlineStr">
        <is>
          <t>Production</t>
        </is>
      </c>
    </row>
    <row r="19" ht="58" customHeight="1">
      <c r="A19" s="49" t="inlineStr">
        <is>
          <t>EMP-017</t>
        </is>
      </c>
      <c r="B19" s="40" t="inlineStr">
        <is>
          <t>P1 — Critique</t>
        </is>
      </c>
      <c r="C19" s="41" t="inlineStr">
        <is>
          <t>Employee ne peut pas accéder /employees</t>
        </is>
      </c>
      <c r="D19" s="41" t="inlineStr">
        <is>
          <t>Redirection /mon-espace</t>
        </is>
      </c>
      <c r="E19" s="41" t="inlineStr"/>
      <c r="F19" s="41" t="inlineStr">
        <is>
          <t>1. Connecter employe@sotra.ci
2. Tenter /employees</t>
        </is>
      </c>
      <c r="G19" s="41" t="inlineStr">
        <is>
          <t>Redirection automatique vers /mon-espace</t>
        </is>
      </c>
      <c r="H19" s="41" t="inlineStr">
        <is>
          <t>Employee bloque de /employees: RoleGuard (allowedRoles sans 'employee') -&gt; /dashboard -&gt; RhDashboardGuard -&gt; /mon-espace (chaine deterministe, sans boucle). Backend defense-in-depth: GET /employees authorize sans 'employee' -&gt; 403.</t>
        </is>
      </c>
      <c r="I19" s="42" t="inlineStr">
        <is>
          <t>✅ Passé</t>
        </is>
      </c>
      <c r="J19" s="41" t="inlineStr">
        <is>
          <t>Agents IA (code)</t>
        </is>
      </c>
      <c r="K19" s="41" t="inlineStr">
        <is>
          <t>23/06/2026</t>
        </is>
      </c>
      <c r="L19" s="41" t="inlineStr"/>
      <c r="M19" s="41" t="inlineStr"/>
      <c r="N19" s="41" t="inlineStr"/>
      <c r="O19" s="41" t="inlineStr">
        <is>
          <t>Sprint 1</t>
        </is>
      </c>
      <c r="P19" s="41" t="inlineStr">
        <is>
          <t>Production</t>
        </is>
      </c>
    </row>
    <row r="20" ht="58" customHeight="1">
      <c r="A20" s="49" t="inlineStr">
        <is>
          <t>EMP-018</t>
        </is>
      </c>
      <c r="B20" s="44" t="inlineStr">
        <is>
          <t>P2 — Haute</t>
        </is>
      </c>
      <c r="C20" s="43" t="inlineStr">
        <is>
          <t>Mobile Money affiché sur fiche</t>
        </is>
      </c>
      <c r="D20" s="43" t="inlineStr">
        <is>
          <t>Provider + numéro formaté</t>
        </is>
      </c>
      <c r="E20" s="43" t="inlineStr"/>
      <c r="F20" s="43" t="inlineStr">
        <is>
          <t>1. Ouvrir fiche d'un employé avec Wave enregistré</t>
        </is>
      </c>
      <c r="G20" s="43" t="inlineStr">
        <is>
          <t>Affiche 'Wave — +225 07 XX XX XX XX'</t>
        </is>
      </c>
      <c r="H20" s="41" t="inlineStr">
        <is>
          <t>Mobile Money affiche sur la fiche: PROVIDER_LABEL (wave-&gt;Wave, mtn_momo-&gt;MTN MoMo, orange_money-&gt;Orange Money) + numero mobile_money_phone. Backend GET /:id renvoie les 2 champs (SELECT e.*).</t>
        </is>
      </c>
      <c r="I20" s="42" t="inlineStr">
        <is>
          <t>✅ Passé</t>
        </is>
      </c>
      <c r="J20" s="41" t="inlineStr">
        <is>
          <t>Agents IA (code)</t>
        </is>
      </c>
      <c r="K20" s="41" t="inlineStr">
        <is>
          <t>23/06/2026</t>
        </is>
      </c>
      <c r="L20" s="43" t="inlineStr"/>
      <c r="M20" s="43" t="inlineStr"/>
      <c r="N20" s="43" t="inlineStr"/>
      <c r="O20" s="43" t="inlineStr">
        <is>
          <t>Sprint 1</t>
        </is>
      </c>
      <c r="P20" s="43" t="inlineStr">
        <is>
          <t>Production</t>
        </is>
      </c>
    </row>
    <row r="21" ht="58" customHeight="1">
      <c r="A21" s="49" t="inlineStr">
        <is>
          <t>EMP-101</t>
        </is>
      </c>
      <c r="B21" s="40" t="inlineStr">
        <is>
          <t>P1 — Critique</t>
        </is>
      </c>
      <c r="C21" s="41" t="inlineStr">
        <is>
          <t>Création employé avec NNI et IBAN</t>
        </is>
      </c>
      <c r="D21" s="41" t="inlineStr">
        <is>
          <t>Plus de 500 à l'enregistrement (chiffrement configuré)</t>
        </is>
      </c>
      <c r="E21" s="41" t="inlineStr">
        <is>
          <t>ENCRYPTION_KEY présente, admin/RH connecté</t>
        </is>
      </c>
      <c r="F21" s="41" t="inlineStr">
        <is>
          <t>1. /employees/new
2. Renseigner NNI et IBAN
3. Enregistrer</t>
        </is>
      </c>
      <c r="G21" s="41" t="inlineStr">
        <is>
          <t>Employé créé, NNI/IBAN chiffrés, aucune « Erreur interne »</t>
        </is>
      </c>
      <c r="H21" s="41" t="inlineStr">
        <is>
          <t>CORRIGE: creer un employe avec NNI -&gt; 400 (PG 22001 valeur trop longue) car la colonne nni varchar(50) ne pouvait pas contenir le NNI CHIFFRE AES (~100+ chars), alors qu'iban varchar(255) passait. Elargi nni a varchar(255) (provisioning + schema + migration lazy ALTER COLUMN TYPE, sans reecriture). NNI/IBAN chiffres, aucune 500.</t>
        </is>
      </c>
      <c r="I21" s="42" t="inlineStr">
        <is>
          <t>✅ Passé</t>
        </is>
      </c>
      <c r="J21" s="41" t="inlineStr">
        <is>
          <t>Agents IA + correctif</t>
        </is>
      </c>
      <c r="K21" s="41" t="inlineStr">
        <is>
          <t>23/06/2026</t>
        </is>
      </c>
      <c r="L21" s="41" t="inlineStr"/>
      <c r="M21" s="41" t="inlineStr"/>
      <c r="N21" s="41" t="inlineStr"/>
      <c r="O21" s="41" t="inlineStr">
        <is>
          <t>Corrections 23/06</t>
        </is>
      </c>
      <c r="P21" s="41" t="inlineStr">
        <is>
          <t>Production</t>
        </is>
      </c>
    </row>
    <row r="22" ht="58" customHeight="1">
      <c r="A22" s="49" t="inlineStr">
        <is>
          <t>EMP-102</t>
        </is>
      </c>
      <c r="B22" s="40" t="inlineStr">
        <is>
          <t>P1 — Critique</t>
        </is>
      </c>
      <c r="C22" s="41" t="inlineStr">
        <is>
          <t>Email employé dupliqué → message personnalisé</t>
        </is>
      </c>
      <c r="D22" s="41" t="inlineStr">
        <is>
          <t>Erreur métier claire, pas de 500 brute</t>
        </is>
      </c>
      <c r="E22" s="41" t="inlineStr">
        <is>
          <t>Un employé avec cet email existe déjà</t>
        </is>
      </c>
      <c r="F22" s="41" t="inlineStr">
        <is>
          <t>1. Créer un employé avec un email déjà utilisé</t>
        </is>
      </c>
      <c r="G22" s="41" t="inlineStr">
        <is>
          <t>409 « Un employé avec cet email existe déjà. »</t>
        </is>
      </c>
      <c r="H22" s="41" t="inlineStr">
        <is>
          <t>Doublon email -&gt; 409 'Un employe avec cet email existe deja.' Message ramene au libelle canonique attendu par ce scenario de non-regression (revert de l'alignement EMP-002, les 2 sont desormais coherents).</t>
        </is>
      </c>
      <c r="I22" s="42" t="inlineStr">
        <is>
          <t>✅ Passé</t>
        </is>
      </c>
      <c r="J22" s="41" t="inlineStr">
        <is>
          <t>Agents IA + correctif</t>
        </is>
      </c>
      <c r="K22" s="41" t="inlineStr">
        <is>
          <t>23/06/2026</t>
        </is>
      </c>
      <c r="L22" s="41" t="inlineStr"/>
      <c r="M22" s="41" t="inlineStr"/>
      <c r="N22" s="41" t="inlineStr"/>
      <c r="O22" s="41" t="inlineStr">
        <is>
          <t>Corrections 23/06</t>
        </is>
      </c>
      <c r="P22" s="41" t="inlineStr">
        <is>
          <t>Production</t>
        </is>
      </c>
    </row>
    <row r="23" ht="58" customHeight="1">
      <c r="A23" s="49" t="inlineStr">
        <is>
          <t>EMP-103</t>
        </is>
      </c>
      <c r="B23" s="40" t="inlineStr">
        <is>
          <t>P1 — Critique</t>
        </is>
      </c>
      <c r="C23" s="41" t="inlineStr">
        <is>
          <t>Rupture de contrat</t>
        </is>
      </c>
      <c r="D23" s="41" t="inlineStr">
        <is>
          <t>Le bouton « Rompre le contrat » fonctionne</t>
        </is>
      </c>
      <c r="E23" s="41" t="inlineStr">
        <is>
          <t>Contrat actif sur un employé</t>
        </is>
      </c>
      <c r="F23" s="41" t="inlineStr">
        <is>
          <t>1. Fiche contrat → Rompre
2. Date + motif
3. Confirmer</t>
        </is>
      </c>
      <c r="G23" s="41" t="inlineStr">
        <is>
          <t>Contrat terminé, employé désactivé, événement RH créé, aucune 500</t>
        </is>
      </c>
      <c r="H23" s="41" t="inlineStr">
        <is>
          <t>Rupture contrat OK (code): POST /contracts/:id/terminate -&gt; contrat status=terminated + end_date, employe is_active=false, hr_events cree (colonne 'date', PAS event_date - non-regression du bug historique), gestion d'erreur personnalisee (pas de 500 brute). Reserve mineure: les 3 ecritures non transactionnelles.</t>
        </is>
      </c>
      <c r="I23" s="42" t="inlineStr">
        <is>
          <t>✅ Passé</t>
        </is>
      </c>
      <c r="J23" s="41" t="inlineStr">
        <is>
          <t>Agents IA (code)</t>
        </is>
      </c>
      <c r="K23" s="41" t="inlineStr">
        <is>
          <t>23/06/2026</t>
        </is>
      </c>
      <c r="L23" s="41" t="inlineStr"/>
      <c r="M23" s="41" t="inlineStr"/>
      <c r="N23" s="41" t="inlineStr"/>
      <c r="O23" s="41" t="inlineStr">
        <is>
          <t>Corrections 23/06</t>
        </is>
      </c>
      <c r="P23" s="41" t="inlineStr">
        <is>
          <t>Production</t>
        </is>
      </c>
    </row>
    <row r="24" ht="58" customHeight="1">
      <c r="A24" s="49" t="inlineStr">
        <is>
          <t>EMP-104</t>
        </is>
      </c>
      <c r="B24" s="40" t="inlineStr">
        <is>
          <t>P1 — Critique</t>
        </is>
      </c>
      <c r="C24" s="43" t="inlineStr">
        <is>
          <t>Contrats OHADA — création CDD / CDI</t>
        </is>
      </c>
      <c r="D24" s="43" t="inlineStr">
        <is>
          <t>Page Contrats OHADA (POST /contracts).</t>
        </is>
      </c>
      <c r="E24" s="43" t="inlineStr">
        <is>
          <t>rh@sotra.ci (hr_manager, « Responsable Paie »)</t>
        </is>
      </c>
      <c r="F24" s="43" t="inlineStr">
        <is>
          <t>1. Contrats OHADA → Nouveau contrat
2. Employé, type CDD, dates, salaire
3. Enregistrer</t>
        </is>
      </c>
      <c r="G24" s="43" t="inlineStr">
        <is>
          <t>Contrat créé, visible dans la fiche employé et la liste ; CDD sans date de fin refusé</t>
        </is>
      </c>
      <c r="H24" s="43" t="n"/>
      <c r="I24" s="42" t="n"/>
      <c r="J24" s="43" t="n"/>
      <c r="K24" s="43" t="n"/>
      <c r="L24" s="43" t="n"/>
      <c r="M24" s="43" t="n"/>
      <c r="N24" s="43" t="n"/>
      <c r="O24" s="43" t="inlineStr">
        <is>
          <t>Recette 10/2026</t>
        </is>
      </c>
      <c r="P24" s="43" t="inlineStr">
        <is>
          <t>Production</t>
        </is>
      </c>
    </row>
    <row r="25" ht="58" customHeight="1">
      <c r="A25" s="49" t="inlineStr">
        <is>
          <t>EMP-105</t>
        </is>
      </c>
      <c r="B25" s="44" t="inlineStr">
        <is>
          <t>P2 — Haute</t>
        </is>
      </c>
      <c r="C25" s="41" t="inlineStr">
        <is>
          <t>Contrats — renouvellement d'un CDD</t>
        </is>
      </c>
      <c r="D25" s="41" t="inlineStr">
        <is>
          <t>POST /contracts/:id/renew.</t>
        </is>
      </c>
      <c r="E25" s="41" t="inlineStr">
        <is>
          <t>CDD actif</t>
        </is>
      </c>
      <c r="F25" s="41" t="inlineStr">
        <is>
          <t>1. Contrat → Renouveler → nouvelle date de fin</t>
        </is>
      </c>
      <c r="G25" s="41" t="inlineStr">
        <is>
          <t>Nouveau contrat lié, ancien clôturé ; règle de renouvellement CDD CI respectée (message si dépassement)</t>
        </is>
      </c>
      <c r="H25" s="41" t="n"/>
      <c r="I25" s="42" t="n"/>
      <c r="J25" s="41" t="n"/>
      <c r="K25" s="41" t="n"/>
      <c r="L25" s="41" t="n"/>
      <c r="M25" s="41" t="n"/>
      <c r="N25" s="41" t="n"/>
      <c r="O25" s="41" t="inlineStr">
        <is>
          <t>Recette 10/2026</t>
        </is>
      </c>
      <c r="P25" s="41" t="inlineStr">
        <is>
          <t>Production</t>
        </is>
      </c>
    </row>
    <row r="26" ht="58" customHeight="1">
      <c r="A26" s="49" t="inlineStr">
        <is>
          <t>EMP-106</t>
        </is>
      </c>
      <c r="B26" s="44" t="inlineStr">
        <is>
          <t>P2 — Haute</t>
        </is>
      </c>
      <c r="C26" s="43" t="inlineStr">
        <is>
          <t>Contrats — consultation « Mon contrat » par l'employé</t>
        </is>
      </c>
      <c r="D26" s="43" t="inlineStr">
        <is>
          <t>GET /contracts/my-contract.</t>
        </is>
      </c>
      <c r="E26" s="43" t="inlineStr">
        <is>
          <t>employe@sotra.ci (Kouassi Coulibaly)</t>
        </is>
      </c>
      <c r="F26" s="43" t="inlineStr">
        <is>
          <t>1. Mon espace → Profil → Mon contrat</t>
        </is>
      </c>
      <c r="G26" s="43" t="inlineStr">
        <is>
          <t>Seul son contrat est visible ; GET /contracts → 403</t>
        </is>
      </c>
      <c r="H26" s="43" t="n"/>
      <c r="I26" s="42" t="n"/>
      <c r="J26" s="43" t="n"/>
      <c r="K26" s="43" t="n"/>
      <c r="L26" s="43" t="n"/>
      <c r="M26" s="43" t="n"/>
      <c r="N26" s="43" t="n"/>
      <c r="O26" s="43" t="inlineStr">
        <is>
          <t>Recette 10/2026</t>
        </is>
      </c>
      <c r="P26" s="43" t="inlineStr">
        <is>
          <t>Production</t>
        </is>
      </c>
    </row>
    <row r="27" ht="58" customHeight="1">
      <c r="A27" s="49" t="inlineStr">
        <is>
          <t>EMP-107</t>
        </is>
      </c>
      <c r="B27" s="44" t="inlineStr">
        <is>
          <t>P2 — Haute</t>
        </is>
      </c>
      <c r="C27" s="41" t="inlineStr">
        <is>
          <t>Contrats — suppression d'un brouillon</t>
        </is>
      </c>
      <c r="D27" s="41" t="inlineStr">
        <is>
          <t>DELETE /contracts/:id (réservé RH).</t>
        </is>
      </c>
      <c r="E27" s="41" t="inlineStr">
        <is>
          <t>Contrat brouillon</t>
        </is>
      </c>
      <c r="F27" s="41" t="inlineStr">
        <is>
          <t>1. Supprimer le contrat
2. Tenter avec manager@</t>
        </is>
      </c>
      <c r="G27" s="41" t="inlineStr">
        <is>
          <t>Supprimé par la RH ; manager → 403</t>
        </is>
      </c>
      <c r="H27" s="41" t="n"/>
      <c r="I27" s="42" t="n"/>
      <c r="J27" s="41" t="n"/>
      <c r="K27" s="41" t="n"/>
      <c r="L27" s="41" t="n"/>
      <c r="M27" s="41" t="n"/>
      <c r="N27" s="41" t="n"/>
      <c r="O27" s="41" t="inlineStr">
        <is>
          <t>Recette 10/2026</t>
        </is>
      </c>
      <c r="P27" s="41" t="inlineStr">
        <is>
          <t>Production</t>
        </is>
      </c>
    </row>
    <row r="28" ht="58" customHeight="1">
      <c r="A28" s="49" t="inlineStr">
        <is>
          <t>EMP-108</t>
        </is>
      </c>
      <c r="B28" s="40" t="inlineStr">
        <is>
          <t>P1 — Critique</t>
        </is>
      </c>
      <c r="C28" s="43" t="inlineStr">
        <is>
          <t>Champs personnalisés sur la fiche employé</t>
        </is>
      </c>
      <c r="D28" s="43" t="inlineStr">
        <is>
          <t>Valeurs custom_fields validées contre la définition du tenant.</t>
        </is>
      </c>
      <c r="E28" s="43" t="inlineStr">
        <is>
          <t>Champs « Groupe sanguin » (liste) et « N° badge » (texte, sensible) définis dans Paramètres</t>
        </is>
      </c>
      <c r="F28" s="43" t="inlineStr">
        <is>
          <t>1. Fiche employé → Modifier → renseigner les champs
2. Saisir une valeur hors liste via l'API
3. Ouvrir la fiche avec manager@</t>
        </is>
      </c>
      <c r="G28" s="43" t="inlineStr">
        <is>
          <t>Valeurs enregistrées et affichées ; valeur invalide → 400 ; champ sensible masqué au manager, visible RH et salarié</t>
        </is>
      </c>
      <c r="H28" s="43" t="n"/>
      <c r="I28" s="42" t="n"/>
      <c r="J28" s="43" t="n"/>
      <c r="K28" s="43" t="n"/>
      <c r="L28" s="43" t="n"/>
      <c r="M28" s="43" t="n"/>
      <c r="N28" s="43" t="n"/>
      <c r="O28" s="43" t="inlineStr">
        <is>
          <t>Recette 10/2026</t>
        </is>
      </c>
      <c r="P28" s="43" t="inlineStr">
        <is>
          <t>Production</t>
        </is>
      </c>
    </row>
    <row r="29" ht="58" customHeight="1">
      <c r="A29" s="49" t="inlineStr">
        <is>
          <t>EMP-109</t>
        </is>
      </c>
      <c r="B29" s="40" t="inlineStr">
        <is>
          <t>P1 — Critique</t>
        </is>
      </c>
      <c r="C29" s="41" t="inlineStr">
        <is>
          <t>Archivage employé — cascade sans processus orphelin</t>
        </is>
      </c>
      <c r="D29" s="41" t="inlineStr">
        <is>
          <t>employee-archive : compte désactivé, contrats terminés, sanctions annulées, signatures annulées.</t>
        </is>
      </c>
      <c r="E29" s="41" t="inlineStr">
        <is>
          <t>Employé de test avec contrat actif, sanction en cours, demande de signature en attente</t>
        </is>
      </c>
      <c r="F29" s="41" t="inlineStr">
        <is>
          <t>1. Fiche → Supprimer / Archiver → vérification préalable (check-delete)
2. Confirmer
3. Contrôler contrats, discipline, signature, login</t>
        </is>
      </c>
      <c r="G29" s="41" t="inlineStr">
        <is>
          <t>Pré-contrôle liste les impacts ; après archivage : login impossible, contrat 'terminated', sanction 'cancelled', signature 'cancelled' ; ré-archivage sans effet</t>
        </is>
      </c>
      <c r="H29" s="41" t="n"/>
      <c r="I29" s="42" t="n"/>
      <c r="J29" s="41" t="n"/>
      <c r="K29" s="41" t="n"/>
      <c r="L29" s="41" t="n"/>
      <c r="M29" s="41" t="n"/>
      <c r="N29" s="41" t="n"/>
      <c r="O29" s="41" t="inlineStr">
        <is>
          <t>Recette 10/2026</t>
        </is>
      </c>
      <c r="P29" s="41" t="inlineStr">
        <is>
          <t>Production</t>
        </is>
      </c>
    </row>
    <row r="30" ht="58" customHeight="1">
      <c r="A30" s="49" t="inlineStr">
        <is>
          <t>EMP-110</t>
        </is>
      </c>
      <c r="B30" s="44" t="inlineStr">
        <is>
          <t>P2 — Haute</t>
        </is>
      </c>
      <c r="C30" s="43" t="inlineStr">
        <is>
          <t>Hiérarchie — choix du manager sans cycle</t>
        </is>
      </c>
      <c r="D30" s="43" t="inlineStr">
        <is>
          <t>GET /employees/manager-options ; refus d'un cycle hiérarchique.</t>
        </is>
      </c>
      <c r="E30" s="43" t="inlineStr">
        <is>
          <t>A manager de B</t>
        </is>
      </c>
      <c r="F30" s="43" t="inlineStr">
        <is>
          <t>1. Fiche de A → Manager = B
2. Enregistrer</t>
        </is>
      </c>
      <c r="G30" s="43" t="inlineStr">
        <is>
          <t>Refus explicite « cycle hiérarchique » ; la liste ne propose pas le salarié lui-même</t>
        </is>
      </c>
      <c r="H30" s="43" t="n"/>
      <c r="I30" s="42" t="n"/>
      <c r="J30" s="43" t="n"/>
      <c r="K30" s="43" t="n"/>
      <c r="L30" s="43" t="n"/>
      <c r="M30" s="43" t="n"/>
      <c r="N30" s="43" t="n"/>
      <c r="O30" s="43" t="inlineStr">
        <is>
          <t>Recette 10/2026</t>
        </is>
      </c>
      <c r="P30" s="43" t="inlineStr">
        <is>
          <t>Production</t>
        </is>
      </c>
    </row>
    <row r="31" ht="58" customHeight="1">
      <c r="A31" s="49" t="inlineStr">
        <is>
          <t>EMP-111</t>
        </is>
      </c>
      <c r="B31" s="44" t="inlineStr">
        <is>
          <t>P2 — Haute</t>
        </is>
      </c>
      <c r="C31" s="41" t="inlineStr">
        <is>
          <t>Mode de paiement — virement bancaire (RIB)</t>
        </is>
      </c>
      <c r="D31" s="41" t="inlineStr">
        <is>
          <t>paymentMethod mobile_money / bank_transfer sur la fiche.</t>
        </is>
      </c>
      <c r="E31" s="41" t="inlineStr">
        <is>
          <t>Employé de test</t>
        </is>
      </c>
      <c r="F31" s="41" t="inlineStr">
        <is>
          <t>1. Modifier → Mode de paiement = Virement → saisir banque, IBAN/RIB
2. Enregistrer
3. RIB invalide</t>
        </is>
      </c>
      <c r="G31" s="41" t="inlineStr">
        <is>
          <t>RIB enregistré (chiffré, masqué hors RH) ; RIB invalide refusé avec message clair</t>
        </is>
      </c>
      <c r="H31" s="41" t="n"/>
      <c r="I31" s="42" t="n"/>
      <c r="J31" s="41" t="n"/>
      <c r="K31" s="41" t="n"/>
      <c r="L31" s="41" t="n"/>
      <c r="M31" s="41" t="n"/>
      <c r="N31" s="41" t="n"/>
      <c r="O31" s="41" t="inlineStr">
        <is>
          <t>Recette 10/2026</t>
        </is>
      </c>
      <c r="P31" s="41" t="inlineStr">
        <is>
          <t>Production</t>
        </is>
      </c>
    </row>
    <row r="32" ht="58" customHeight="1">
      <c r="A32" s="49" t="inlineStr">
        <is>
          <t>EMP-112</t>
        </is>
      </c>
      <c r="B32" s="44" t="inlineStr">
        <is>
          <t>P2 — Haute</t>
        </is>
      </c>
      <c r="C32" s="43" t="inlineStr">
        <is>
          <t>Photo de profil — isolation</t>
        </is>
      </c>
      <c r="D32" s="43" t="inlineStr">
        <is>
          <t>GET /employees/:id/photo protégé.</t>
        </is>
      </c>
      <c r="E32" s="43" t="inlineStr">
        <is>
          <t>Photo chargée sur un employé SOTRA</t>
        </is>
      </c>
      <c r="F32" s="43" t="inlineStr">
        <is>
          <t>1. Copier l'URL photo
2. L'ouvrir avec un compte d'un autre tenant</t>
        </is>
      </c>
      <c r="G32" s="43" t="inlineStr">
        <is>
          <t>403/404 cross-tenant ; un employé ne voit pas la photo d'un autre salarié hors annuaire autorisé</t>
        </is>
      </c>
      <c r="H32" s="43" t="n"/>
      <c r="I32" s="42" t="n"/>
      <c r="J32" s="43" t="n"/>
      <c r="K32" s="43" t="n"/>
      <c r="L32" s="43" t="n"/>
      <c r="M32" s="43" t="n"/>
      <c r="N32" s="43" t="n"/>
      <c r="O32" s="43" t="inlineStr">
        <is>
          <t>Recette 10/2026</t>
        </is>
      </c>
      <c r="P32" s="43" t="inlineStr">
        <is>
          <t>Production</t>
        </is>
      </c>
    </row>
    <row r="33" ht="58" customHeight="1">
      <c r="A33" s="49" t="inlineStr">
        <is>
          <t>EMP-113</t>
        </is>
      </c>
      <c r="B33" s="44" t="inlineStr">
        <is>
          <t>P2 — Haute</t>
        </is>
      </c>
      <c r="C33" s="41" t="inlineStr">
        <is>
          <t>Profil d'entretien (interview-focus) d'un employé</t>
        </is>
      </c>
      <c r="D33" s="41" t="inlineStr">
        <is>
          <t>PUT /employees/:id/interview-focus — calibre les simulations internes.</t>
        </is>
      </c>
      <c r="E33" s="41" t="inlineStr">
        <is>
          <t>rh@sotra.ci (hr_manager, « Responsable Paie »)</t>
        </is>
      </c>
      <c r="F33" s="41" t="inlineStr">
        <is>
          <t>1. Fiche employé → Profil technique → compétences clés, niveau
2. Enregistrer</t>
        </is>
      </c>
      <c r="G33" s="41" t="inlineStr">
        <is>
          <t>Profil enregistré et normalisé ; valeurs invalides refusées</t>
        </is>
      </c>
      <c r="H33" s="41" t="n"/>
      <c r="I33" s="42" t="n"/>
      <c r="J33" s="41" t="n"/>
      <c r="K33" s="41" t="n"/>
      <c r="L33" s="41" t="n"/>
      <c r="M33" s="41" t="n"/>
      <c r="N33" s="41" t="n"/>
      <c r="O33" s="41" t="inlineStr">
        <is>
          <t>Recette 10/2026</t>
        </is>
      </c>
      <c r="P33" s="41" t="inlineStr">
        <is>
          <t>Production</t>
        </is>
      </c>
    </row>
    <row r="34" ht="58" customHeight="1">
      <c r="A34" s="49" t="inlineStr">
        <is>
          <t>EMP-114</t>
        </is>
      </c>
      <c r="B34" s="44" t="inlineStr">
        <is>
          <t>P2 — Haute</t>
        </is>
      </c>
      <c r="C34" s="43" t="inlineStr">
        <is>
          <t>Rattachement manager et périmètre (job_level)</t>
        </is>
      </c>
      <c r="D34" s="43" t="inlineStr">
        <is>
          <t>job_level pilote les offres internes visibles.</t>
        </is>
      </c>
      <c r="E34" s="43" t="inlineStr">
        <is>
          <t>Employé avec job_level NULL</t>
        </is>
      </c>
      <c r="F34" s="43" t="inlineStr">
        <is>
          <t>1. Renseigner job_level sur la fiche
2. Connecter l'employé → Mes offres internes</t>
        </is>
      </c>
      <c r="G34" s="43" t="inlineStr">
        <is>
          <t>Sans job_level aucune offre ciblée ; après saisie, les offres ciblant ce niveau apparaissent</t>
        </is>
      </c>
      <c r="H34" s="43" t="n"/>
      <c r="I34" s="42" t="n"/>
      <c r="J34" s="43" t="n"/>
      <c r="K34" s="43" t="n"/>
      <c r="L34" s="43" t="n"/>
      <c r="M34" s="43" t="n"/>
      <c r="N34" s="43" t="n"/>
      <c r="O34" s="43" t="inlineStr">
        <is>
          <t>Recette 10/2026</t>
        </is>
      </c>
      <c r="P34" s="43" t="inlineStr">
        <is>
          <t>Production</t>
        </is>
      </c>
    </row>
  </sheetData>
  <mergeCells count="1">
    <mergeCell ref="A1:P1"/>
  </mergeCells>
  <conditionalFormatting sqref="A3:P34">
    <cfRule type="expression" priority="1" dxfId="0">
      <formula>$I3="✅ Passé"</formula>
    </cfRule>
    <cfRule type="expression" priority="2" dxfId="1">
      <formula>$I3="❌ Échoué"</formula>
    </cfRule>
    <cfRule type="expression" priority="3" dxfId="2">
      <formula>$I3="⚠️ Bloqué"</formula>
    </cfRule>
    <cfRule type="expression" priority="4" dxfId="3">
      <formula>$I3="▶️ En cours"</formula>
    </cfRule>
    <cfRule type="expression" priority="5" dxfId="4">
      <formula>$I3="⬜ Non exécuté"</formula>
    </cfRule>
  </conditionalFormatting>
  <dataValidations count="66">
    <dataValidation sqref="I3" showDropDown="0" showInputMessage="0" showErrorMessage="0" allowBlank="1" type="list">
      <formula1>"✅ Passé,❌ Échoué,⚠️ Bloqué,▶️ En cours,⬜ Non exécuté"</formula1>
    </dataValidation>
    <dataValidation sqref="B3" showDropDown="0" showInputMessage="0" showErrorMessage="0" allowBlank="1" type="list">
      <formula1>"P1 — Critique,P2 — Haute,P3 — Moyenne,P4 — Basse"</formula1>
    </dataValidation>
    <dataValidation sqref="P3" showDropDown="0" showInputMessage="0" showErrorMessage="0" allowBlank="1" type="list">
      <formula1>"Production,Preprod,Local"</formula1>
    </dataValidation>
    <dataValidation sqref="I4" showDropDown="0" showInputMessage="0" showErrorMessage="0" allowBlank="1" type="list">
      <formula1>"✅ Passé,❌ Échoué,⚠️ Bloqué,▶️ En cours,⬜ Non exécuté"</formula1>
    </dataValidation>
    <dataValidation sqref="B4" showDropDown="0" showInputMessage="0" showErrorMessage="0" allowBlank="1" type="list">
      <formula1>"P1 — Critique,P2 — Haute,P3 — Moyenne,P4 — Basse"</formula1>
    </dataValidation>
    <dataValidation sqref="P4" showDropDown="0" showInputMessage="0" showErrorMessage="0" allowBlank="1" type="list">
      <formula1>"Production,Preprod,Local"</formula1>
    </dataValidation>
    <dataValidation sqref="I5" showDropDown="0" showInputMessage="0" showErrorMessage="0" allowBlank="1" type="list">
      <formula1>"✅ Passé,❌ Échoué,⚠️ Bloqué,▶️ En cours,⬜ Non exécuté"</formula1>
    </dataValidation>
    <dataValidation sqref="B5" showDropDown="0" showInputMessage="0" showErrorMessage="0" allowBlank="1" type="list">
      <formula1>"P1 — Critique,P2 — Haute,P3 — Moyenne,P4 — Basse"</formula1>
    </dataValidation>
    <dataValidation sqref="P5" showDropDown="0" showInputMessage="0" showErrorMessage="0" allowBlank="1" type="list">
      <formula1>"Production,Preprod,Local"</formula1>
    </dataValidation>
    <dataValidation sqref="I6" showDropDown="0" showInputMessage="0" showErrorMessage="0" allowBlank="1" type="list">
      <formula1>"✅ Passé,❌ Échoué,⚠️ Bloqué,▶️ En cours,⬜ Non exécuté"</formula1>
    </dataValidation>
    <dataValidation sqref="B6" showDropDown="0" showInputMessage="0" showErrorMessage="0" allowBlank="1" type="list">
      <formula1>"P1 — Critique,P2 — Haute,P3 — Moyenne,P4 — Basse"</formula1>
    </dataValidation>
    <dataValidation sqref="P6" showDropDown="0" showInputMessage="0" showErrorMessage="0" allowBlank="1" type="list">
      <formula1>"Production,Preprod,Local"</formula1>
    </dataValidation>
    <dataValidation sqref="I7" showDropDown="0" showInputMessage="0" showErrorMessage="0" allowBlank="1" type="list">
      <formula1>"✅ Passé,❌ Échoué,⚠️ Bloqué,▶️ En cours,⬜ Non exécuté"</formula1>
    </dataValidation>
    <dataValidation sqref="B7" showDropDown="0" showInputMessage="0" showErrorMessage="0" allowBlank="1" type="list">
      <formula1>"P1 — Critique,P2 — Haute,P3 — Moyenne,P4 — Basse"</formula1>
    </dataValidation>
    <dataValidation sqref="P7" showDropDown="0" showInputMessage="0" showErrorMessage="0" allowBlank="1" type="list">
      <formula1>"Production,Preprod,Local"</formula1>
    </dataValidation>
    <dataValidation sqref="I8" showDropDown="0" showInputMessage="0" showErrorMessage="0" allowBlank="1" type="list">
      <formula1>"✅ Passé,❌ Échoué,⚠️ Bloqué,▶️ En cours,⬜ Non exécuté"</formula1>
    </dataValidation>
    <dataValidation sqref="B8" showDropDown="0" showInputMessage="0" showErrorMessage="0" allowBlank="1" type="list">
      <formula1>"P1 — Critique,P2 — Haute,P3 — Moyenne,P4 — Basse"</formula1>
    </dataValidation>
    <dataValidation sqref="P8" showDropDown="0" showInputMessage="0" showErrorMessage="0" allowBlank="1" type="list">
      <formula1>"Production,Preprod,Local"</formula1>
    </dataValidation>
    <dataValidation sqref="I9" showDropDown="0" showInputMessage="0" showErrorMessage="0" allowBlank="1" type="list">
      <formula1>"✅ Passé,❌ Échoué,⚠️ Bloqué,▶️ En cours,⬜ Non exécuté"</formula1>
    </dataValidation>
    <dataValidation sqref="B9" showDropDown="0" showInputMessage="0" showErrorMessage="0" allowBlank="1" type="list">
      <formula1>"P1 — Critique,P2 — Haute,P3 — Moyenne,P4 — Basse"</formula1>
    </dataValidation>
    <dataValidation sqref="P9" showDropDown="0" showInputMessage="0" showErrorMessage="0" allowBlank="1" type="list">
      <formula1>"Production,Preprod,Local"</formula1>
    </dataValidation>
    <dataValidation sqref="I10" showDropDown="0" showInputMessage="0" showErrorMessage="0" allowBlank="1" type="list">
      <formula1>"✅ Passé,❌ Échoué,⚠️ Bloqué,▶️ En cours,⬜ Non exécuté"</formula1>
    </dataValidation>
    <dataValidation sqref="B10" showDropDown="0" showInputMessage="0" showErrorMessage="0" allowBlank="1" type="list">
      <formula1>"P1 — Critique,P2 — Haute,P3 — Moyenne,P4 — Basse"</formula1>
    </dataValidation>
    <dataValidation sqref="P10" showDropDown="0" showInputMessage="0" showErrorMessage="0" allowBlank="1" type="list">
      <formula1>"Production,Preprod,Local"</formula1>
    </dataValidation>
    <dataValidation sqref="I11" showDropDown="0" showInputMessage="0" showErrorMessage="0" allowBlank="1" type="list">
      <formula1>"✅ Passé,❌ Échoué,⚠️ Bloqué,▶️ En cours,⬜ Non exécuté"</formula1>
    </dataValidation>
    <dataValidation sqref="B11" showDropDown="0" showInputMessage="0" showErrorMessage="0" allowBlank="1" type="list">
      <formula1>"P1 — Critique,P2 — Haute,P3 — Moyenne,P4 — Basse"</formula1>
    </dataValidation>
    <dataValidation sqref="P11" showDropDown="0" showInputMessage="0" showErrorMessage="0" allowBlank="1" type="list">
      <formula1>"Production,Preprod,Local"</formula1>
    </dataValidation>
    <dataValidation sqref="I12" showDropDown="0" showInputMessage="0" showErrorMessage="0" allowBlank="1" type="list">
      <formula1>"✅ Passé,❌ Échoué,⚠️ Bloqué,▶️ En cours,⬜ Non exécuté"</formula1>
    </dataValidation>
    <dataValidation sqref="B12" showDropDown="0" showInputMessage="0" showErrorMessage="0" allowBlank="1" type="list">
      <formula1>"P1 — Critique,P2 — Haute,P3 — Moyenne,P4 — Basse"</formula1>
    </dataValidation>
    <dataValidation sqref="P12" showDropDown="0" showInputMessage="0" showErrorMessage="0" allowBlank="1" type="list">
      <formula1>"Production,Preprod,Local"</formula1>
    </dataValidation>
    <dataValidation sqref="I13" showDropDown="0" showInputMessage="0" showErrorMessage="0" allowBlank="1" type="list">
      <formula1>"✅ Passé,❌ Échoué,⚠️ Bloqué,▶️ En cours,⬜ Non exécuté"</formula1>
    </dataValidation>
    <dataValidation sqref="B13" showDropDown="0" showInputMessage="0" showErrorMessage="0" allowBlank="1" type="list">
      <formula1>"P1 — Critique,P2 — Haute,P3 — Moyenne,P4 — Basse"</formula1>
    </dataValidation>
    <dataValidation sqref="P13" showDropDown="0" showInputMessage="0" showErrorMessage="0" allowBlank="1" type="list">
      <formula1>"Production,Preprod,Local"</formula1>
    </dataValidation>
    <dataValidation sqref="I14" showDropDown="0" showInputMessage="0" showErrorMessage="0" allowBlank="1" type="list">
      <formula1>"✅ Passé,❌ Échoué,⚠️ Bloqué,▶️ En cours,⬜ Non exécuté"</formula1>
    </dataValidation>
    <dataValidation sqref="B14" showDropDown="0" showInputMessage="0" showErrorMessage="0" allowBlank="1" type="list">
      <formula1>"P1 — Critique,P2 — Haute,P3 — Moyenne,P4 — Basse"</formula1>
    </dataValidation>
    <dataValidation sqref="P14" showDropDown="0" showInputMessage="0" showErrorMessage="0" allowBlank="1" type="list">
      <formula1>"Production,Preprod,Local"</formula1>
    </dataValidation>
    <dataValidation sqref="I15" showDropDown="0" showInputMessage="0" showErrorMessage="0" allowBlank="1" type="list">
      <formula1>"✅ Passé,❌ Échoué,⚠️ Bloqué,▶️ En cours,⬜ Non exécuté"</formula1>
    </dataValidation>
    <dataValidation sqref="B15" showDropDown="0" showInputMessage="0" showErrorMessage="0" allowBlank="1" type="list">
      <formula1>"P1 — Critique,P2 — Haute,P3 — Moyenne,P4 — Basse"</formula1>
    </dataValidation>
    <dataValidation sqref="P15" showDropDown="0" showInputMessage="0" showErrorMessage="0" allowBlank="1" type="list">
      <formula1>"Production,Preprod,Local"</formula1>
    </dataValidation>
    <dataValidation sqref="I16" showDropDown="0" showInputMessage="0" showErrorMessage="0" allowBlank="1" type="list">
      <formula1>"✅ Passé,❌ Échoué,⚠️ Bloqué,▶️ En cours,⬜ Non exécuté"</formula1>
    </dataValidation>
    <dataValidation sqref="B16" showDropDown="0" showInputMessage="0" showErrorMessage="0" allowBlank="1" type="list">
      <formula1>"P1 — Critique,P2 — Haute,P3 — Moyenne,P4 — Basse"</formula1>
    </dataValidation>
    <dataValidation sqref="P16" showDropDown="0" showInputMessage="0" showErrorMessage="0" allowBlank="1" type="list">
      <formula1>"Production,Preprod,Local"</formula1>
    </dataValidation>
    <dataValidation sqref="I17" showDropDown="0" showInputMessage="0" showErrorMessage="0" allowBlank="1" type="list">
      <formula1>"✅ Passé,❌ Échoué,⚠️ Bloqué,▶️ En cours,⬜ Non exécuté"</formula1>
    </dataValidation>
    <dataValidation sqref="B17" showDropDown="0" showInputMessage="0" showErrorMessage="0" allowBlank="1" type="list">
      <formula1>"P1 — Critique,P2 — Haute,P3 — Moyenne,P4 — Basse"</formula1>
    </dataValidation>
    <dataValidation sqref="P17" showDropDown="0" showInputMessage="0" showErrorMessage="0" allowBlank="1" type="list">
      <formula1>"Production,Preprod,Local"</formula1>
    </dataValidation>
    <dataValidation sqref="I18" showDropDown="0" showInputMessage="0" showErrorMessage="0" allowBlank="1" type="list">
      <formula1>"✅ Passé,❌ Échoué,⚠️ Bloqué,▶️ En cours,⬜ Non exécuté"</formula1>
    </dataValidation>
    <dataValidation sqref="B18" showDropDown="0" showInputMessage="0" showErrorMessage="0" allowBlank="1" type="list">
      <formula1>"P1 — Critique,P2 — Haute,P3 — Moyenne,P4 — Basse"</formula1>
    </dataValidation>
    <dataValidation sqref="P18" showDropDown="0" showInputMessage="0" showErrorMessage="0" allowBlank="1" type="list">
      <formula1>"Production,Preprod,Local"</formula1>
    </dataValidation>
    <dataValidation sqref="I19" showDropDown="0" showInputMessage="0" showErrorMessage="0" allowBlank="1" type="list">
      <formula1>"✅ Passé,❌ Échoué,⚠️ Bloqué,▶️ En cours,⬜ Non exécuté"</formula1>
    </dataValidation>
    <dataValidation sqref="B19" showDropDown="0" showInputMessage="0" showErrorMessage="0" allowBlank="1" type="list">
      <formula1>"P1 — Critique,P2 — Haute,P3 — Moyenne,P4 — Basse"</formula1>
    </dataValidation>
    <dataValidation sqref="P19" showDropDown="0" showInputMessage="0" showErrorMessage="0" allowBlank="1" type="list">
      <formula1>"Production,Preprod,Local"</formula1>
    </dataValidation>
    <dataValidation sqref="I20" showDropDown="0" showInputMessage="0" showErrorMessage="0" allowBlank="1" type="list">
      <formula1>"✅ Passé,❌ Échoué,⚠️ Bloqué,▶️ En cours,⬜ Non exécuté"</formula1>
    </dataValidation>
    <dataValidation sqref="B20" showDropDown="0" showInputMessage="0" showErrorMessage="0" allowBlank="1" type="list">
      <formula1>"P1 — Critique,P2 — Haute,P3 — Moyenne,P4 — Basse"</formula1>
    </dataValidation>
    <dataValidation sqref="P20" showDropDown="0" showInputMessage="0" showErrorMessage="0" allowBlank="1" type="list">
      <formula1>"Production,Preprod,Local"</formula1>
    </dataValidation>
    <dataValidation sqref="I21" showDropDown="0" showInputMessage="0" showErrorMessage="0" allowBlank="1" type="list">
      <formula1>"✅ Passé,❌ Échoué,⚠️ Bloqué,▶️ En cours,⬜ Non exécuté"</formula1>
    </dataValidation>
    <dataValidation sqref="B21" showDropDown="0" showInputMessage="0" showErrorMessage="0" allowBlank="1" type="list">
      <formula1>"P1 — Critique,P2 — Haute,P3 — Moyenne,P4 — Basse"</formula1>
    </dataValidation>
    <dataValidation sqref="P21" showDropDown="0" showInputMessage="0" showErrorMessage="0" allowBlank="1" type="list">
      <formula1>"Production,Preprod,Local"</formula1>
    </dataValidation>
    <dataValidation sqref="I22" showDropDown="0" showInputMessage="0" showErrorMessage="0" allowBlank="1" type="list">
      <formula1>"✅ Passé,❌ Échoué,⚠️ Bloqué,▶️ En cours,⬜ Non exécuté"</formula1>
    </dataValidation>
    <dataValidation sqref="B22" showDropDown="0" showInputMessage="0" showErrorMessage="0" allowBlank="1" type="list">
      <formula1>"P1 — Critique,P2 — Haute,P3 — Moyenne,P4 — Basse"</formula1>
    </dataValidation>
    <dataValidation sqref="P22" showDropDown="0" showInputMessage="0" showErrorMessage="0" allowBlank="1" type="list">
      <formula1>"Production,Preprod,Local"</formula1>
    </dataValidation>
    <dataValidation sqref="I23" showDropDown="0" showInputMessage="0" showErrorMessage="0" allowBlank="1" type="list">
      <formula1>"✅ Passé,❌ Échoué,⚠️ Bloqué,▶️ En cours,⬜ Non exécuté"</formula1>
    </dataValidation>
    <dataValidation sqref="B23" showDropDown="0" showInputMessage="0" showErrorMessage="0" allowBlank="1" type="list">
      <formula1>"P1 — Critique,P2 — Haute,P3 — Moyenne,P4 — Basse"</formula1>
    </dataValidation>
    <dataValidation sqref="P23" showDropDown="0" showInputMessage="0" showErrorMessage="0" allowBlank="1" type="list">
      <formula1>"Production,Preprod,Local"</formula1>
    </dataValidation>
    <dataValidation sqref="I24:I34" showDropDown="0" showInputMessage="0" showErrorMessage="0" allowBlank="1" type="list">
      <formula1>"✅ Passé,❌ Échoué,⚠️ Bloqué,▶️ En cours,⬜ Non exécuté"</formula1>
    </dataValidation>
    <dataValidation sqref="B24:B34" showDropDown="0" showInputMessage="0" showErrorMessage="0" allowBlank="1" type="list">
      <formula1>"P1 — Critique,P2 — Haute,P3 — Moyenne,P4 — Basse"</formula1>
    </dataValidation>
    <dataValidation sqref="P24:P34" showDropDown="0" showInputMessage="0" showErrorMessage="0" allowBlank="1" type="list">
      <formula1>"Production,Preprod,Local"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38" customWidth="1" min="3" max="3"/>
    <col width="32" customWidth="1" min="4" max="4"/>
    <col width="30" customWidth="1" min="5" max="5"/>
    <col width="40" customWidth="1" min="6" max="6"/>
    <col width="38" customWidth="1" min="7" max="7"/>
    <col width="38" customWidth="1" min="8" max="8"/>
    <col width="18" customWidth="1" min="9" max="9"/>
    <col width="16" customWidth="1" min="10" max="10"/>
    <col width="13" customWidth="1" min="11" max="11"/>
    <col width="12" customWidth="1" min="12" max="12"/>
    <col width="24" customWidth="1" min="13" max="13"/>
    <col width="36" customWidth="1" min="14" max="14"/>
    <col width="10" customWidth="1" min="15" max="15"/>
    <col width="12" customWidth="1" min="16" max="16"/>
  </cols>
  <sheetData>
    <row r="1" ht="26" customHeight="1">
      <c r="A1" s="50" t="inlineStr">
        <is>
          <t xml:space="preserve">  MOTEUR DE PAIE CI (CNPS + ITS)  ·  62 scénarios</t>
        </is>
      </c>
    </row>
    <row r="2" ht="22" customHeight="1">
      <c r="A2" s="39" t="inlineStr">
        <is>
          <t>ID Test</t>
        </is>
      </c>
      <c r="B2" s="39" t="inlineStr">
        <is>
          <t>Priorité</t>
        </is>
      </c>
      <c r="C2" s="39" t="inlineStr">
        <is>
          <t>Titre du scénario</t>
        </is>
      </c>
      <c r="D2" s="39" t="inlineStr">
        <is>
          <t>Description / Contexte</t>
        </is>
      </c>
      <c r="E2" s="39" t="inlineStr">
        <is>
          <t>Prérequis / Données</t>
        </is>
      </c>
      <c r="F2" s="39" t="inlineStr">
        <is>
          <t>Étapes détaillées</t>
        </is>
      </c>
      <c r="G2" s="39" t="inlineStr">
        <is>
          <t>Résultat attendu</t>
        </is>
      </c>
      <c r="H2" s="39" t="inlineStr">
        <is>
          <t>Résultat obtenu</t>
        </is>
      </c>
      <c r="I2" s="39" t="inlineStr">
        <is>
          <t>Statut</t>
        </is>
      </c>
      <c r="J2" s="39" t="inlineStr">
        <is>
          <t>Testeur</t>
        </is>
      </c>
      <c r="K2" s="39" t="inlineStr">
        <is>
          <t>Date test</t>
        </is>
      </c>
      <c r="L2" s="39" t="inlineStr">
        <is>
          <t>Durée (min)</t>
        </is>
      </c>
      <c r="M2" s="39" t="inlineStr">
        <is>
          <t>Ticket / Requalification</t>
        </is>
      </c>
      <c r="N2" s="39" t="inlineStr">
        <is>
          <t>Commentaire / Amélioration</t>
        </is>
      </c>
      <c r="O2" s="39" t="inlineStr">
        <is>
          <t>Sprint</t>
        </is>
      </c>
      <c r="P2" s="39" t="inlineStr">
        <is>
          <t>Env.</t>
        </is>
      </c>
    </row>
    <row r="3" ht="58" customHeight="1">
      <c r="A3" s="51" t="inlineStr">
        <is>
          <t>PAY-001</t>
        </is>
      </c>
      <c r="B3" s="40" t="inlineStr">
        <is>
          <t>P1 — Critique</t>
        </is>
      </c>
      <c r="C3" s="41" t="inlineStr">
        <is>
          <t>CNPS Retraite salarié 6.3% — plafond 1 647 315 FCFA</t>
        </is>
      </c>
      <c r="D3" s="41" t="inlineStr">
        <is>
          <t>Vérifier le calcul exact pour un salaire de 200 000 FCFA</t>
        </is>
      </c>
      <c r="E3" s="41" t="inlineStr">
        <is>
          <t>Moteur CI déployé</t>
        </is>
      </c>
      <c r="F3" s="41" t="inlineStr">
        <is>
          <t>1. Créer bulletin pour salaire 200 000 FCFA
2. Vérifier rubrique CNPS retraite sal</t>
        </is>
      </c>
      <c r="G3" s="41" t="inlineStr">
        <is>
          <t>200 000 × 6.3% = 12 600 FCFA (&lt; plafond → pas d'écrêtement)</t>
        </is>
      </c>
      <c r="H3" s="41" t="inlineStr">
        <is>
          <t>Live (POST /payroll/simulate, salaire 200000): retraite sal (rubrique 2000) = 200000 x 6.3% = 12600 FCFA (&lt; plafond 1647315, pas d'ecretement). Taux 0.063 + plafond depuis le pack legislatif CIV-2024. Couvert par test unitaire + golden.</t>
        </is>
      </c>
      <c r="I3" s="42" t="inlineStr">
        <is>
          <t>✅ Passé</t>
        </is>
      </c>
      <c r="J3" s="41" t="inlineStr">
        <is>
          <t>Agents IA + live (simulate)</t>
        </is>
      </c>
      <c r="K3" s="41" t="inlineStr">
        <is>
          <t>23/06/2026</t>
        </is>
      </c>
      <c r="L3" s="41" t="inlineStr"/>
      <c r="M3" s="41" t="inlineStr"/>
      <c r="N3" s="41" t="inlineStr"/>
      <c r="O3" s="41" t="inlineStr">
        <is>
          <t>Sprint 1</t>
        </is>
      </c>
      <c r="P3" s="41" t="inlineStr">
        <is>
          <t>Production</t>
        </is>
      </c>
    </row>
    <row r="4" ht="58" customHeight="1">
      <c r="A4" s="51" t="inlineStr">
        <is>
          <t>PAY-002</t>
        </is>
      </c>
      <c r="B4" s="40" t="inlineStr">
        <is>
          <t>P1 — Critique</t>
        </is>
      </c>
      <c r="C4" s="43" t="inlineStr">
        <is>
          <t>CNPS Retraite salarié — plafond appliqué</t>
        </is>
      </c>
      <c r="D4" s="43" t="inlineStr">
        <is>
          <t>Salaire &gt; 1 647 315 FCFA</t>
        </is>
      </c>
      <c r="E4" s="43" t="inlineStr"/>
      <c r="F4" s="43" t="inlineStr">
        <is>
          <t>1. Créer bulletin pour salaire 2 000 000 FCFA</t>
        </is>
      </c>
      <c r="G4" s="43" t="inlineStr">
        <is>
          <t>CNPS retraite sal = 1 647 315 × 6.3% = 103 781 FCFA (pas 2 000 000 × 6.3%)</t>
        </is>
      </c>
      <c r="H4" s="41" t="inlineStr">
        <is>
          <t>Live (salaire 2000000): retraite sal = base ECRETEE a 1647315 x 6.3% = 103780 FCFA (PAS 2000000 x 6.3%). Le PLAFOND est correctement applique (min avant taux). Ecart de 1 FCFA vs cahier (103781): le moteur fait Math.floor (troncature) - DECISION RECETTE: garder Math.floor (convention documentee, plafond conforme).</t>
        </is>
      </c>
      <c r="I4" s="42" t="inlineStr">
        <is>
          <t>✅ Passé</t>
        </is>
      </c>
      <c r="J4" s="41" t="inlineStr">
        <is>
          <t>Agents IA + live (simulate)</t>
        </is>
      </c>
      <c r="K4" s="41" t="inlineStr">
        <is>
          <t>23/06/2026</t>
        </is>
      </c>
      <c r="L4" s="43" t="inlineStr"/>
      <c r="M4" s="43" t="inlineStr"/>
      <c r="N4" s="43" t="inlineStr"/>
      <c r="O4" s="43" t="inlineStr">
        <is>
          <t>Sprint 1</t>
        </is>
      </c>
      <c r="P4" s="43" t="inlineStr">
        <is>
          <t>Production</t>
        </is>
      </c>
    </row>
    <row r="5" ht="58" customHeight="1">
      <c r="A5" s="51" t="inlineStr">
        <is>
          <t>PAY-003</t>
        </is>
      </c>
      <c r="B5" s="40" t="inlineStr">
        <is>
          <t>P1 — Critique</t>
        </is>
      </c>
      <c r="C5" s="41" t="inlineStr">
        <is>
          <t>CNPS AT commerce 2% — plafond 70 000 FCFA</t>
        </is>
      </c>
      <c r="D5" s="41" t="inlineStr">
        <is>
          <t>Tenant secteur Commerce</t>
        </is>
      </c>
      <c r="E5" s="41" t="inlineStr">
        <is>
          <t>Tenant services (atRate=2%)</t>
        </is>
      </c>
      <c r="F5" s="41" t="inlineStr">
        <is>
          <t>1. Générer bulletin pour salaire 200 000 FCFA
2. Vérifier rubrique AT</t>
        </is>
      </c>
      <c r="G5" s="41" t="inlineStr">
        <is>
          <t>AT = min(200 000, 70 000) × 2% = 1 400 FCFA</t>
        </is>
      </c>
      <c r="H5" s="41" t="inlineStr">
        <is>
          <t>Live (services atRate=2%, salaire 200000): AT (rubrique 3300, part patronale) = min(200000,70000) x 2% = 1400 FCFA. Plafond AT/PF=70000 distinct du plafond retraite (double plafond respecte). Golden fixture 01 verrouille 200000@2%-&gt;1400.</t>
        </is>
      </c>
      <c r="I5" s="42" t="inlineStr">
        <is>
          <t>✅ Passé</t>
        </is>
      </c>
      <c r="J5" s="41" t="inlineStr">
        <is>
          <t>Agents IA + live (simulate)</t>
        </is>
      </c>
      <c r="K5" s="41" t="inlineStr">
        <is>
          <t>23/06/2026</t>
        </is>
      </c>
      <c r="L5" s="41" t="inlineStr"/>
      <c r="M5" s="41" t="inlineStr"/>
      <c r="N5" s="41" t="inlineStr"/>
      <c r="O5" s="41" t="inlineStr">
        <is>
          <t>Sprint 1</t>
        </is>
      </c>
      <c r="P5" s="41" t="inlineStr">
        <is>
          <t>Production</t>
        </is>
      </c>
    </row>
    <row r="6" ht="58" customHeight="1">
      <c r="A6" s="51" t="inlineStr">
        <is>
          <t>PAY-004</t>
        </is>
      </c>
      <c r="B6" s="40" t="inlineStr">
        <is>
          <t>P1 — Critique</t>
        </is>
      </c>
      <c r="C6" s="43" t="inlineStr">
        <is>
          <t>CNPS AT BTP 3% — plafond 70 000 FCFA</t>
        </is>
      </c>
      <c r="D6" s="43" t="inlineStr">
        <is>
          <t>Tenant secteur Transport (SOTRA atRate=3%)</t>
        </is>
      </c>
      <c r="E6" s="43" t="inlineStr">
        <is>
          <t>Tenant SOTRA connecté</t>
        </is>
      </c>
      <c r="F6" s="43" t="inlineStr">
        <is>
          <t>1. Générer bulletin SOTRA, salaire 180 000 FCFA</t>
        </is>
      </c>
      <c r="G6" s="43" t="inlineStr">
        <is>
          <t>AT = min(180 000, 70 000) × 3% = 2 100 FCFA</t>
        </is>
      </c>
      <c r="H6" s="41" t="inlineStr">
        <is>
          <t>Live (atRate=3% BTP/transport=SOTRA, salaire 180000): AT = min(180000,70000) x 3% = 2100 FCFA. Le taux AT vient du tenant (at_rate parametrable 2-5% par secteur/filiale), PAS en dur. Conforme.</t>
        </is>
      </c>
      <c r="I6" s="42" t="inlineStr">
        <is>
          <t>✅ Passé</t>
        </is>
      </c>
      <c r="J6" s="41" t="inlineStr">
        <is>
          <t>Agents IA + live (simulate)</t>
        </is>
      </c>
      <c r="K6" s="41" t="inlineStr">
        <is>
          <t>23/06/2026</t>
        </is>
      </c>
      <c r="L6" s="43" t="inlineStr"/>
      <c r="M6" s="43" t="inlineStr"/>
      <c r="N6" s="43" t="inlineStr"/>
      <c r="O6" s="43" t="inlineStr">
        <is>
          <t>Sprint 1</t>
        </is>
      </c>
      <c r="P6" s="43" t="inlineStr">
        <is>
          <t>Production</t>
        </is>
      </c>
    </row>
    <row r="7" ht="58" customHeight="1">
      <c r="A7" s="51" t="inlineStr">
        <is>
          <t>PAY-005</t>
        </is>
      </c>
      <c r="B7" s="40" t="inlineStr">
        <is>
          <t>P1 — Critique</t>
        </is>
      </c>
      <c r="C7" s="41" t="inlineStr">
        <is>
          <t>CNPS Prestations Familiales 5%</t>
        </is>
      </c>
      <c r="D7" s="41" t="inlineStr">
        <is>
          <t>Part patronale seulement, plafond 70 000</t>
        </is>
      </c>
      <c r="E7" s="41" t="inlineStr"/>
      <c r="F7" s="41" t="inlineStr">
        <is>
          <t>1. Vérifier rubrique PF sur bulletin</t>
        </is>
      </c>
      <c r="G7" s="41" t="inlineStr">
        <is>
          <t>PF = min(BRUT, 70 000) × 5%, salarié ne paie rien sur cette branche</t>
        </is>
      </c>
      <c r="H7" s="41" t="inlineStr">
        <is>
          <t>Live (salaire 200000): PF (rubrique 3100) = min(200000,70000) x 5% = 3500 FCFA, base=70000, type=employer_contribution (100% patronale). Part salariee PF = 0 (totalCnpsSal = retraite seule). Conforme.</t>
        </is>
      </c>
      <c r="I7" s="42" t="inlineStr">
        <is>
          <t>✅ Passé</t>
        </is>
      </c>
      <c r="J7" s="41" t="inlineStr">
        <is>
          <t>Agents IA + live (simulate)</t>
        </is>
      </c>
      <c r="K7" s="41" t="inlineStr">
        <is>
          <t>23/06/2026</t>
        </is>
      </c>
      <c r="L7" s="41" t="inlineStr"/>
      <c r="M7" s="41" t="inlineStr"/>
      <c r="N7" s="41" t="inlineStr"/>
      <c r="O7" s="41" t="inlineStr">
        <is>
          <t>Sprint 1</t>
        </is>
      </c>
      <c r="P7" s="41" t="inlineStr">
        <is>
          <t>Production</t>
        </is>
      </c>
    </row>
    <row r="8" ht="58" customHeight="1">
      <c r="A8" s="51" t="inlineStr">
        <is>
          <t>PAY-006</t>
        </is>
      </c>
      <c r="B8" s="40" t="inlineStr">
        <is>
          <t>P1 — Critique</t>
        </is>
      </c>
      <c r="C8" s="43" t="inlineStr">
        <is>
          <t>CNPS Maternité 0.75% — patronal</t>
        </is>
      </c>
      <c r="D8" s="43" t="inlineStr"/>
      <c r="E8" s="43" t="inlineStr"/>
      <c r="F8" s="43" t="inlineStr">
        <is>
          <t>1. Vérifier rubrique maternité</t>
        </is>
      </c>
      <c r="G8" s="43" t="inlineStr">
        <is>
          <t>Maternité = min(BRUT, 70 000) × 0.75%</t>
        </is>
      </c>
      <c r="H8" s="41" t="inlineStr">
        <is>
          <t>Live (@200000): maternite (rubrique 3200, patronale) = min(200000,70000) x 0.75% = 525 FCFA, base=70000. Conforme.</t>
        </is>
      </c>
      <c r="I8" s="42" t="inlineStr">
        <is>
          <t>✅ Passé</t>
        </is>
      </c>
      <c r="J8" s="41" t="inlineStr">
        <is>
          <t>Agents IA + live (simulate)</t>
        </is>
      </c>
      <c r="K8" s="41" t="inlineStr">
        <is>
          <t>23/06/2026</t>
        </is>
      </c>
      <c r="L8" s="43" t="inlineStr"/>
      <c r="M8" s="43" t="inlineStr"/>
      <c r="N8" s="43" t="inlineStr"/>
      <c r="O8" s="43" t="inlineStr">
        <is>
          <t>Sprint 1</t>
        </is>
      </c>
      <c r="P8" s="43" t="inlineStr">
        <is>
          <t>Production</t>
        </is>
      </c>
    </row>
    <row r="9" ht="58" customHeight="1">
      <c r="A9" s="51" t="inlineStr">
        <is>
          <t>PAY-007</t>
        </is>
      </c>
      <c r="B9" s="40" t="inlineStr">
        <is>
          <t>P1 — Critique</t>
        </is>
      </c>
      <c r="C9" s="41" t="inlineStr">
        <is>
          <t>ITS barème 0% — salaire net imposable ≤ 75 000 FCFA</t>
        </is>
      </c>
      <c r="D9" s="41" t="inlineStr">
        <is>
          <t>Salaire SMIG = 60 000 FCFA</t>
        </is>
      </c>
      <c r="E9" s="41" t="inlineStr"/>
      <c r="F9" s="41" t="inlineStr">
        <is>
          <t>1. Créer bulletin SMIG = 60 000 FCFA
2. Calculer net imposable = 60 000 × 0.85 - CNPS</t>
        </is>
      </c>
      <c r="G9" s="41" t="inlineStr">
        <is>
          <t>ITS = 0 FCFA</t>
        </is>
      </c>
      <c r="H9" s="41" t="inlineStr">
        <is>
          <t>Live (SMIG 60000): net imposable = floor(60000x0.85)-CNPS = 47220 (&lt;= 75000) -&gt; ITS = 0 FCFA. Conforme.</t>
        </is>
      </c>
      <c r="I9" s="42" t="inlineStr">
        <is>
          <t>✅ Passé</t>
        </is>
      </c>
      <c r="J9" s="41" t="inlineStr">
        <is>
          <t>Agents IA + live (simulate)</t>
        </is>
      </c>
      <c r="K9" s="41" t="inlineStr">
        <is>
          <t>23/06/2026</t>
        </is>
      </c>
      <c r="L9" s="41" t="inlineStr"/>
      <c r="M9" s="41" t="inlineStr"/>
      <c r="N9" s="41" t="inlineStr"/>
      <c r="O9" s="41" t="inlineStr">
        <is>
          <t>Sprint 1</t>
        </is>
      </c>
      <c r="P9" s="41" t="inlineStr">
        <is>
          <t>Production</t>
        </is>
      </c>
    </row>
    <row r="10" ht="58" customHeight="1">
      <c r="A10" s="51" t="inlineStr">
        <is>
          <t>PAY-008</t>
        </is>
      </c>
      <c r="B10" s="40" t="inlineStr">
        <is>
          <t>P1 — Critique</t>
        </is>
      </c>
      <c r="C10" s="43" t="inlineStr">
        <is>
          <t>ITS barème 1.5% — tranche 75 001 à 240 000 FCFA</t>
        </is>
      </c>
      <c r="D10" s="43" t="inlineStr">
        <is>
          <t>Salaire net imposable dans cette tranche</t>
        </is>
      </c>
      <c r="E10" s="43" t="inlineStr"/>
      <c r="F10" s="43" t="inlineStr">
        <is>
          <t>1. Salaire brut 120 000 FCFA
2. Net imposable = 120 000×0.85 - CNPS ≈ 94 440</t>
        </is>
      </c>
      <c r="G10" s="43" t="inlineStr">
        <is>
          <t>ITS = (94 440 - 75 000) × 1.5% ≈ 292 FCFA</t>
        </is>
      </c>
      <c r="H10" s="41" t="inlineStr">
        <is>
          <t>Live (brut 120000): imposable = floor(120000x0.85) - CNPS 7560 = 94440 -&gt; ITS = (94440-75000) x 1.5% = 291 FCFA (floor). Conforme au barème tranche 1,5%.</t>
        </is>
      </c>
      <c r="I10" s="42" t="inlineStr">
        <is>
          <t>✅ Passé</t>
        </is>
      </c>
      <c r="J10" s="41" t="inlineStr">
        <is>
          <t>Agents IA + live (simulate)</t>
        </is>
      </c>
      <c r="K10" s="41" t="inlineStr">
        <is>
          <t>23/06/2026</t>
        </is>
      </c>
      <c r="L10" s="43" t="inlineStr"/>
      <c r="M10" s="43" t="inlineStr"/>
      <c r="N10" s="43" t="inlineStr"/>
      <c r="O10" s="43" t="inlineStr">
        <is>
          <t>Sprint 1</t>
        </is>
      </c>
      <c r="P10" s="43" t="inlineStr">
        <is>
          <t>Production</t>
        </is>
      </c>
    </row>
    <row r="11" ht="58" customHeight="1">
      <c r="A11" s="51" t="inlineStr">
        <is>
          <t>PAY-009</t>
        </is>
      </c>
      <c r="B11" s="40" t="inlineStr">
        <is>
          <t>P1 — Critique</t>
        </is>
      </c>
      <c r="C11" s="41" t="inlineStr">
        <is>
          <t>ITS barème 5% — tranche 240 001 à 800 000 FCFA</t>
        </is>
      </c>
      <c r="D11" s="41" t="inlineStr"/>
      <c r="E11" s="41" t="inlineStr"/>
      <c r="F11" s="41" t="inlineStr">
        <is>
          <t>1. Salaire brut 400 000 FCFA</t>
        </is>
      </c>
      <c r="G11" s="41" t="inlineStr">
        <is>
          <t>ITS calculé selon barème progressif, taux 5% sur la tranche</t>
        </is>
      </c>
      <c r="H11" s="41" t="inlineStr">
        <is>
          <t>Live (brut 400000): imposable = 314800 -&gt; ITS progressif = 6214 FCFA (tranche 1,5% sur 75001-240000 + tranche 5% sur 240001-314800). Bareme progressif applique (pas un taux unique). 1 FCFA d'ecart vs calcul single-floor = floor par tranche (convention conservee).</t>
        </is>
      </c>
      <c r="I11" s="42" t="inlineStr">
        <is>
          <t>✅ Passé</t>
        </is>
      </c>
      <c r="J11" s="41" t="inlineStr">
        <is>
          <t>Agents IA + live (simulate)</t>
        </is>
      </c>
      <c r="K11" s="41" t="inlineStr">
        <is>
          <t>23/06/2026</t>
        </is>
      </c>
      <c r="L11" s="41" t="inlineStr"/>
      <c r="M11" s="41" t="inlineStr"/>
      <c r="N11" s="41" t="inlineStr"/>
      <c r="O11" s="41" t="inlineStr">
        <is>
          <t>Sprint 1</t>
        </is>
      </c>
      <c r="P11" s="41" t="inlineStr">
        <is>
          <t>Production</t>
        </is>
      </c>
    </row>
    <row r="12" ht="58" customHeight="1">
      <c r="A12" s="51" t="inlineStr">
        <is>
          <t>PAY-010</t>
        </is>
      </c>
      <c r="B12" s="40" t="inlineStr">
        <is>
          <t>P1 — Critique</t>
        </is>
      </c>
      <c r="C12" s="43" t="inlineStr">
        <is>
          <t>ITS barème 10% — tranche 800 001 à 2 000 000 FCFA</t>
        </is>
      </c>
      <c r="D12" s="43" t="inlineStr"/>
      <c r="E12" s="43" t="inlineStr"/>
      <c r="F12" s="43" t="inlineStr">
        <is>
          <t>1. Salaire brut 1 200 000 FCFA</t>
        </is>
      </c>
      <c r="G12" s="43" t="inlineStr">
        <is>
          <t>ITS avec taux 10% sur la tranche concernée</t>
        </is>
      </c>
      <c r="H12" s="41" t="inlineStr">
        <is>
          <t>Live (brut 1200000): imposable = 944400 -&gt; ITS progressif = 44914 FCFA (tranches 1,5% + 5% + 10% sur 800001-944400). Tranche 10% atteinte, bareme progressif correct.</t>
        </is>
      </c>
      <c r="I12" s="42" t="inlineStr">
        <is>
          <t>✅ Passé</t>
        </is>
      </c>
      <c r="J12" s="41" t="inlineStr">
        <is>
          <t>Agents IA + live (simulate)</t>
        </is>
      </c>
      <c r="K12" s="41" t="inlineStr">
        <is>
          <t>23/06/2026</t>
        </is>
      </c>
      <c r="L12" s="43" t="inlineStr"/>
      <c r="M12" s="43" t="inlineStr"/>
      <c r="N12" s="43" t="inlineStr"/>
      <c r="O12" s="43" t="inlineStr">
        <is>
          <t>Sprint 1</t>
        </is>
      </c>
      <c r="P12" s="43" t="inlineStr">
        <is>
          <t>Production</t>
        </is>
      </c>
    </row>
    <row r="13" ht="58" customHeight="1">
      <c r="A13" s="51" t="inlineStr">
        <is>
          <t>PAY-011</t>
        </is>
      </c>
      <c r="B13" s="40" t="inlineStr">
        <is>
          <t>P1 — Critique</t>
        </is>
      </c>
      <c r="C13" s="41" t="inlineStr">
        <is>
          <t>ITS barème 15% — tranche &gt; 2 000 000 FCFA</t>
        </is>
      </c>
      <c r="D13" s="41" t="inlineStr"/>
      <c r="E13" s="41" t="inlineStr"/>
      <c r="F13" s="41" t="inlineStr">
        <is>
          <t>1. Salaire brut 3 000 000 FCFA</t>
        </is>
      </c>
      <c r="G13" s="41" t="inlineStr">
        <is>
          <t>ITS avec taux 15% sur la tranche &gt; 2M</t>
        </is>
      </c>
      <c r="H13" s="41" t="inlineStr">
        <is>
          <t>Live (brut 3000000 single): imposable~2446220 -&gt; ITS=217407 FCFA, tranche 15% atteinte (&gt;2M). Bareme progressif complet (1,5+5+10+15%). Conforme.</t>
        </is>
      </c>
      <c r="I13" s="42" t="inlineStr">
        <is>
          <t>✅ Passé</t>
        </is>
      </c>
      <c r="J13" s="41" t="inlineStr">
        <is>
          <t>Agents IA + live (simulate)</t>
        </is>
      </c>
      <c r="K13" s="41" t="inlineStr">
        <is>
          <t>23/06/2026</t>
        </is>
      </c>
      <c r="L13" s="41" t="inlineStr"/>
      <c r="M13" s="41" t="inlineStr"/>
      <c r="N13" s="41" t="inlineStr"/>
      <c r="O13" s="41" t="inlineStr">
        <is>
          <t>Sprint 1</t>
        </is>
      </c>
      <c r="P13" s="41" t="inlineStr">
        <is>
          <t>Production</t>
        </is>
      </c>
    </row>
    <row r="14" ht="58" customHeight="1">
      <c r="A14" s="51" t="inlineStr">
        <is>
          <t>PAY-012</t>
        </is>
      </c>
      <c r="B14" s="40" t="inlineStr">
        <is>
          <t>P1 — Critique</t>
        </is>
      </c>
      <c r="C14" s="43" t="inlineStr">
        <is>
          <t>Abattement ITS 15% appliqué avant barème</t>
        </is>
      </c>
      <c r="D14" s="43" t="inlineStr">
        <is>
          <t>Net imposable = BRUT × 0.85</t>
        </is>
      </c>
      <c r="E14" s="43" t="inlineStr"/>
      <c r="F14" s="43" t="inlineStr">
        <is>
          <t>1. Salaire 200 000 FCFA
2. Vérifier base de calcul ITS</t>
        </is>
      </c>
      <c r="G14" s="43" t="inlineStr">
        <is>
          <t>Base ITS = 200 000 × 0.85 - CNPS sal, PAS directement 200 000</t>
        </is>
      </c>
      <c r="H14" s="41" t="inlineStr">
        <is>
          <t>Live (brut 200000): la rubrique ITS a base=157400 = floor(200000x0.85) - CNPS 12600. L'abattement 15% est applique sur le BRUT AVANT le bareme (pas sur 200000 direct), puis CNPS deduite. Confirme code (payroll-engine-ci abattementImpotSalaire=0.15). Conforme.</t>
        </is>
      </c>
      <c r="I14" s="42" t="inlineStr">
        <is>
          <t>✅ Passé</t>
        </is>
      </c>
      <c r="J14" s="41" t="inlineStr">
        <is>
          <t>Agents IA + live (simulate)</t>
        </is>
      </c>
      <c r="K14" s="41" t="inlineStr">
        <is>
          <t>23/06/2026</t>
        </is>
      </c>
      <c r="L14" s="43" t="inlineStr"/>
      <c r="M14" s="43" t="inlineStr"/>
      <c r="N14" s="43" t="inlineStr"/>
      <c r="O14" s="43" t="inlineStr">
        <is>
          <t>Sprint 1</t>
        </is>
      </c>
      <c r="P14" s="43" t="inlineStr">
        <is>
          <t>Production</t>
        </is>
      </c>
    </row>
    <row r="15" ht="58" customHeight="1">
      <c r="A15" s="51" t="inlineStr">
        <is>
          <t>PAY-013</t>
        </is>
      </c>
      <c r="B15" s="44" t="inlineStr">
        <is>
          <t>P2 — Haute</t>
        </is>
      </c>
      <c r="C15" s="41" t="inlineStr">
        <is>
          <t>Crédit d'impôt marié sans enfant — 5 500 FCFA/mois</t>
        </is>
      </c>
      <c r="D15" s="41" t="inlineStr"/>
      <c r="E15" s="41" t="inlineStr"/>
      <c r="F15" s="41" t="inlineStr">
        <is>
          <t>1. Employé marié, 0 enfant
2. Vérifier crédit ITS</t>
        </is>
      </c>
      <c r="G15" s="41" t="inlineStr">
        <is>
          <t>ITS final = max(0, ITS brut - 5 500)</t>
        </is>
      </c>
      <c r="H15" s="41" t="inlineStr">
        <is>
          <t>Live (brut 1200000, marie 0 enfant): ITS brut 44914 - credit 5500 = 39414 FCFA. max(0, its-credit) applique. Conforme.</t>
        </is>
      </c>
      <c r="I15" s="42" t="inlineStr">
        <is>
          <t>✅ Passé</t>
        </is>
      </c>
      <c r="J15" s="41" t="inlineStr">
        <is>
          <t>Agents IA + live (simulate)</t>
        </is>
      </c>
      <c r="K15" s="41" t="inlineStr">
        <is>
          <t>23/06/2026</t>
        </is>
      </c>
      <c r="L15" s="41" t="inlineStr"/>
      <c r="M15" s="41" t="inlineStr"/>
      <c r="N15" s="41" t="inlineStr"/>
      <c r="O15" s="41" t="inlineStr">
        <is>
          <t>Sprint 1</t>
        </is>
      </c>
      <c r="P15" s="41" t="inlineStr">
        <is>
          <t>Production</t>
        </is>
      </c>
    </row>
    <row r="16" ht="58" customHeight="1">
      <c r="A16" s="51" t="inlineStr">
        <is>
          <t>PAY-014</t>
        </is>
      </c>
      <c r="B16" s="44" t="inlineStr">
        <is>
          <t>P2 — Haute</t>
        </is>
      </c>
      <c r="C16" s="43" t="inlineStr">
        <is>
          <t>Crédit d'impôt 1 enfant — 3 000 FCFA supplémentaires</t>
        </is>
      </c>
      <c r="D16" s="43" t="inlineStr"/>
      <c r="E16" s="43" t="inlineStr"/>
      <c r="F16" s="43" t="inlineStr">
        <is>
          <t>1. Employé marié, 1 enfant
2. Crédit = 5 500 + 3 000 = 8 500 FCFA</t>
        </is>
      </c>
      <c r="G16" s="43" t="inlineStr">
        <is>
          <t>ITS final déduit du crédit cumulé</t>
        </is>
      </c>
      <c r="H16" s="41" t="inlineStr">
        <is>
          <t>Live (brut 1200000, marie 1 enfant): credit = 5500 + 3000 = 8500 -&gt; ITS = 44914 - 8500 = 36414 FCFA. Credit cumulatif marie+enfant correct.</t>
        </is>
      </c>
      <c r="I16" s="42" t="inlineStr">
        <is>
          <t>✅ Passé</t>
        </is>
      </c>
      <c r="J16" s="41" t="inlineStr">
        <is>
          <t>Agents IA + live (simulate)</t>
        </is>
      </c>
      <c r="K16" s="41" t="inlineStr">
        <is>
          <t>23/06/2026</t>
        </is>
      </c>
      <c r="L16" s="43" t="inlineStr"/>
      <c r="M16" s="43" t="inlineStr"/>
      <c r="N16" s="43" t="inlineStr"/>
      <c r="O16" s="43" t="inlineStr">
        <is>
          <t>Sprint 1</t>
        </is>
      </c>
      <c r="P16" s="43" t="inlineStr">
        <is>
          <t>Production</t>
        </is>
      </c>
    </row>
    <row r="17" ht="58" customHeight="1">
      <c r="A17" s="51" t="inlineStr">
        <is>
          <t>PAY-015</t>
        </is>
      </c>
      <c r="B17" s="44" t="inlineStr">
        <is>
          <t>P2 — Haute</t>
        </is>
      </c>
      <c r="C17" s="41" t="inlineStr">
        <is>
          <t>Crédit d'impôt 3+ enfants — 9 000 FCFA supplémentaires</t>
        </is>
      </c>
      <c r="D17" s="41" t="inlineStr"/>
      <c r="E17" s="41" t="inlineStr"/>
      <c r="F17" s="41" t="inlineStr">
        <is>
          <t>1. Employé marié, 3 enfants
2. Crédit = 5 500 + 9 000 = 14 500 FCFA</t>
        </is>
      </c>
      <c r="G17" s="41" t="inlineStr">
        <is>
          <t>ITS final correct</t>
        </is>
      </c>
      <c r="H17" s="41" t="inlineStr">
        <is>
          <t>Live (brut 1200000, marie 3 enfants): credit = 5500 + 9000 = 14500 -&gt; ITS = 44914 - 14500 = 30414 FCFA. Bareme enfants [3000,6000,9000] correct.</t>
        </is>
      </c>
      <c r="I17" s="42" t="inlineStr">
        <is>
          <t>✅ Passé</t>
        </is>
      </c>
      <c r="J17" s="41" t="inlineStr">
        <is>
          <t>Agents IA + live (simulate)</t>
        </is>
      </c>
      <c r="K17" s="41" t="inlineStr">
        <is>
          <t>23/06/2026</t>
        </is>
      </c>
      <c r="L17" s="41" t="inlineStr"/>
      <c r="M17" s="41" t="inlineStr"/>
      <c r="N17" s="41" t="inlineStr"/>
      <c r="O17" s="41" t="inlineStr">
        <is>
          <t>Sprint 1</t>
        </is>
      </c>
      <c r="P17" s="41" t="inlineStr">
        <is>
          <t>Production</t>
        </is>
      </c>
    </row>
    <row r="18" ht="58" customHeight="1">
      <c r="A18" s="51" t="inlineStr">
        <is>
          <t>PAY-016</t>
        </is>
      </c>
      <c r="B18" s="40" t="inlineStr">
        <is>
          <t>P1 — Critique</t>
        </is>
      </c>
      <c r="C18" s="43" t="inlineStr">
        <is>
          <t>Net payable ≥ SMIG 60 000 FCFA</t>
        </is>
      </c>
      <c r="D18" s="43" t="inlineStr">
        <is>
          <t>Vérification du plancher légal CI</t>
        </is>
      </c>
      <c r="E18" s="43" t="inlineStr"/>
      <c r="F18" s="43" t="inlineStr">
        <is>
          <t>1. Créer bulletin pour salaire bas (60 000 FCFA)
2. Vérifier net payable</t>
        </is>
      </c>
      <c r="G18" s="43" t="inlineStr">
        <is>
          <t>Net payable ≥ 60 000 FCFA, jamais en dessous du SMIG pour temps plein</t>
        </is>
      </c>
      <c r="H18" s="41" t="inlineStr">
        <is>
          <t>SCENARIO INCORRECT (moteur correct): net@60000 = 56220 &lt; 60000. Le SMIG est un minimum de salaire BRUT (pas du net - le net est toujours &lt; brut apres CNPS 6.3%). Le moteur traite le SMIG comme controle (smigCompliant) + validation embauche (baseSalary&lt;SMIG-&gt;422), PAS de plancher net (correct legalement). De plus SMIG revalorise a 75000 (cahier dit 60000, perime). A reformuler: 'BRUT &gt;= SMIG'.</t>
        </is>
      </c>
      <c r="I18" s="42" t="inlineStr">
        <is>
          <t>⚠️ Bloqué</t>
        </is>
      </c>
      <c r="J18" s="41" t="inlineStr">
        <is>
          <t>Agents IA + live (simulate)</t>
        </is>
      </c>
      <c r="K18" s="41" t="inlineStr">
        <is>
          <t>23/06/2026</t>
        </is>
      </c>
      <c r="L18" s="43" t="inlineStr"/>
      <c r="M18" s="43" t="inlineStr"/>
      <c r="N18" s="43" t="inlineStr"/>
      <c r="O18" s="43" t="inlineStr">
        <is>
          <t>Sprint 1</t>
        </is>
      </c>
      <c r="P18" s="43" t="inlineStr">
        <is>
          <t>Production</t>
        </is>
      </c>
    </row>
    <row r="19" ht="58" customHeight="1">
      <c r="A19" s="51" t="inlineStr">
        <is>
          <t>PAY-017</t>
        </is>
      </c>
      <c r="B19" s="44" t="inlineStr">
        <is>
          <t>P2 — Haute</t>
        </is>
      </c>
      <c r="C19" s="41" t="inlineStr">
        <is>
          <t>Prorata jours travaillés</t>
        </is>
      </c>
      <c r="D19" s="41" t="inlineStr">
        <is>
          <t>BRUT_PRORATA = BRUT × (jours_travaillés / jours_ouvrables)</t>
        </is>
      </c>
      <c r="E19" s="41" t="inlineStr"/>
      <c r="F19" s="41" t="inlineStr">
        <is>
          <t>1. Employé ayant travaillé 13j sur 26j ouvrables
2. Vérifier BRUT_PRORATA</t>
        </is>
      </c>
      <c r="G19" s="41" t="inlineStr">
        <is>
          <t>Salaire brut = 50% du brut mensuel contractuel</t>
        </is>
      </c>
      <c r="H19" s="41" t="inlineStr">
        <is>
          <t>Live: prorata 13j/26j de 200000 -&gt; brut (rubrique 1000) = 100000 = 50% du brut mensuel. brutProrata = floor(baseSalary x jours/jours_ouvrables). Conforme.</t>
        </is>
      </c>
      <c r="I19" s="42" t="inlineStr">
        <is>
          <t>✅ Passé</t>
        </is>
      </c>
      <c r="J19" s="41" t="inlineStr">
        <is>
          <t>Agents IA + live (simulate)</t>
        </is>
      </c>
      <c r="K19" s="41" t="inlineStr">
        <is>
          <t>23/06/2026</t>
        </is>
      </c>
      <c r="L19" s="41" t="inlineStr"/>
      <c r="M19" s="41" t="inlineStr"/>
      <c r="N19" s="41" t="inlineStr"/>
      <c r="O19" s="41" t="inlineStr">
        <is>
          <t>Sprint 1</t>
        </is>
      </c>
      <c r="P19" s="41" t="inlineStr">
        <is>
          <t>Production</t>
        </is>
      </c>
    </row>
    <row r="20" ht="58" customHeight="1">
      <c r="A20" s="51" t="inlineStr">
        <is>
          <t>PAY-018</t>
        </is>
      </c>
      <c r="B20" s="44" t="inlineStr">
        <is>
          <t>P2 — Haute</t>
        </is>
      </c>
      <c r="C20" s="43" t="inlineStr">
        <is>
          <t>Prime de transport intégrée (variable elements)</t>
        </is>
      </c>
      <c r="D20" s="43" t="inlineStr"/>
      <c r="E20" s="43" t="inlineStr"/>
      <c r="F20" s="43" t="inlineStr">
        <is>
          <t>1. Ajouter prime transport 30 000 FCFA dans variable elements</t>
        </is>
      </c>
      <c r="G20" s="43" t="inlineStr">
        <is>
          <t>Bulletin inclut prime, brut augmenté, CNPS recalculé</t>
        </is>
      </c>
      <c r="H20" s="41" t="inlineStr">
        <is>
          <t>Live: variable element {PRIME_TRANSPORT:30000} -&gt; rubrique 1300 = 30000, brut 200000 -&gt; 230000 (+net). Prime integree. NUANCE correcte: la prime transport n'augmente PAS les bases CNPS/ITS (exoneree/non cotisable en CI, conforme spec). Saisie via POST /settings/variable-elements (lie a une periode).</t>
        </is>
      </c>
      <c r="I20" s="42" t="inlineStr">
        <is>
          <t>✅ Passé</t>
        </is>
      </c>
      <c r="J20" s="41" t="inlineStr">
        <is>
          <t>Agents IA + live (simulate)</t>
        </is>
      </c>
      <c r="K20" s="41" t="inlineStr">
        <is>
          <t>23/06/2026</t>
        </is>
      </c>
      <c r="L20" s="43" t="inlineStr"/>
      <c r="M20" s="43" t="inlineStr"/>
      <c r="N20" s="43" t="inlineStr"/>
      <c r="O20" s="43" t="inlineStr">
        <is>
          <t>Sprint 1</t>
        </is>
      </c>
      <c r="P20" s="43" t="inlineStr">
        <is>
          <t>Production</t>
        </is>
      </c>
    </row>
    <row r="21" ht="58" customHeight="1">
      <c r="A21" s="51" t="inlineStr">
        <is>
          <t>PAY-019</t>
        </is>
      </c>
      <c r="B21" s="40" t="inlineStr">
        <is>
          <t>P1 — Critique</t>
        </is>
      </c>
      <c r="C21" s="41" t="inlineStr">
        <is>
          <t>Création période de paie</t>
        </is>
      </c>
      <c r="D21" s="41" t="inlineStr"/>
      <c r="E21" s="41" t="inlineStr">
        <is>
          <t>Admin connecté</t>
        </is>
      </c>
      <c r="F21" s="41" t="inlineStr">
        <is>
          <t>1. Paie → Nouvelle période → Mai 2025
2. Créer</t>
        </is>
      </c>
      <c r="G21" s="41" t="inlineStr">
        <is>
          <t>Période créée avec statut 'open'</t>
        </is>
      </c>
      <c r="H21" s="41" t="inlineStr">
        <is>
          <t>CORRIGE: pas d'endpoint mono-tenant creant une periode au statut 'open' (la creation etait couplee a la generation dans /close qui passe direct en pending_validation). Ajout POST /payroll/periods/:month -&gt; cree la periode statut 'open' (409 si existe) + bouton 'Creer la periode' sur PayrollPage. Generation ensuite via /close.</t>
        </is>
      </c>
      <c r="I21" s="42" t="inlineStr">
        <is>
          <t>✅ Passé</t>
        </is>
      </c>
      <c r="J21" s="41" t="inlineStr">
        <is>
          <t>Agents IA + correctif</t>
        </is>
      </c>
      <c r="K21" s="41" t="inlineStr">
        <is>
          <t>23/06/2026</t>
        </is>
      </c>
      <c r="L21" s="41" t="inlineStr"/>
      <c r="M21" s="41" t="inlineStr"/>
      <c r="N21" s="41" t="inlineStr"/>
      <c r="O21" s="41" t="inlineStr">
        <is>
          <t>Sprint 1</t>
        </is>
      </c>
      <c r="P21" s="41" t="inlineStr">
        <is>
          <t>Production</t>
        </is>
      </c>
    </row>
    <row r="22" ht="58" customHeight="1">
      <c r="A22" s="51" t="inlineStr">
        <is>
          <t>PAY-020</t>
        </is>
      </c>
      <c r="B22" s="40" t="inlineStr">
        <is>
          <t>P1 — Critique</t>
        </is>
      </c>
      <c r="C22" s="43" t="inlineStr">
        <is>
          <t>Génération bulletins pour tous les employés actifs</t>
        </is>
      </c>
      <c r="D22" s="43" t="inlineStr"/>
      <c r="E22" s="43" t="inlineStr">
        <is>
          <t>Période ouverte</t>
        </is>
      </c>
      <c r="F22" s="43" t="inlineStr">
        <is>
          <t>1. Période → Générer bulletins
2. Confirmer</t>
        </is>
      </c>
      <c r="G22" s="43" t="inlineStr">
        <is>
          <t>Un bulletin par employé actif, calculs CNPS+ITS correct, pas de décimales</t>
        </is>
      </c>
      <c r="H22" s="41" t="inlineStr">
        <is>
          <t>Code+flux (POST /payroll/periods/:month/close): 1 pay_slip par employe ACTIF (WHERE is_active=true AND deleted_at IS NULL), calculs CNPS+ITS via calculatePayrollCI, montants ENTIERS (Math.floor + colonnes numeric(N,0) zero decimale). Workflow 2-yeux ensuite (pending_validation -&gt; validate -&gt; closed).</t>
        </is>
      </c>
      <c r="I22" s="42" t="inlineStr">
        <is>
          <t>✅ Passé</t>
        </is>
      </c>
      <c r="J22" s="41" t="inlineStr">
        <is>
          <t>Agents IA + live (simulate)</t>
        </is>
      </c>
      <c r="K22" s="41" t="inlineStr">
        <is>
          <t>23/06/2026</t>
        </is>
      </c>
      <c r="L22" s="43" t="inlineStr"/>
      <c r="M22" s="43" t="inlineStr"/>
      <c r="N22" s="43" t="inlineStr"/>
      <c r="O22" s="43" t="inlineStr">
        <is>
          <t>Sprint 1</t>
        </is>
      </c>
      <c r="P22" s="43" t="inlineStr">
        <is>
          <t>Production</t>
        </is>
      </c>
    </row>
    <row r="23" ht="58" customHeight="1">
      <c r="A23" s="51" t="inlineStr">
        <is>
          <t>PAY-021</t>
        </is>
      </c>
      <c r="B23" s="40" t="inlineStr">
        <is>
          <t>P1 — Critique</t>
        </is>
      </c>
      <c r="C23" s="41" t="inlineStr">
        <is>
          <t>Clôture période de paie</t>
        </is>
      </c>
      <c r="D23" s="41" t="inlineStr"/>
      <c r="E23" s="41" t="inlineStr">
        <is>
          <t>Bulletins générés</t>
        </is>
      </c>
      <c r="F23" s="41" t="inlineStr">
        <is>
          <t>1. Période → Clôturer</t>
        </is>
      </c>
      <c r="G23" s="41" t="inlineStr">
        <is>
          <t>Statut = 'closed', bulletins figés, plus de modification possible</t>
        </is>
      </c>
      <c r="H23" s="41" t="inlineStr">
        <is>
          <t>Code+flux : la cloture passe par workflow 2-yeux open-&gt;pending_validation (close)-&gt;approve par un AUTRE admin/hr_mgr-&gt;'closed'. Re-cloture bloquee (422 deja cloturee / 409 en validation). Bulletins figes (ON CONFLICT DO NOTHING, aucune route de modif post-cloture). Conforme.</t>
        </is>
      </c>
      <c r="I23" s="42" t="inlineStr">
        <is>
          <t>✅ Passé</t>
        </is>
      </c>
      <c r="J23" s="41" t="inlineStr">
        <is>
          <t>Agents IA + rendu PDF</t>
        </is>
      </c>
      <c r="K23" s="41" t="inlineStr">
        <is>
          <t>24/06/2026</t>
        </is>
      </c>
      <c r="L23" s="41" t="inlineStr"/>
      <c r="M23" s="41" t="inlineStr"/>
      <c r="N23" s="41" t="inlineStr"/>
      <c r="O23" s="41" t="inlineStr">
        <is>
          <t>Sprint 1</t>
        </is>
      </c>
      <c r="P23" s="41" t="inlineStr">
        <is>
          <t>Production</t>
        </is>
      </c>
    </row>
    <row r="24" ht="58" customHeight="1">
      <c r="A24" s="51" t="inlineStr">
        <is>
          <t>PAY-022</t>
        </is>
      </c>
      <c r="B24" s="40" t="inlineStr">
        <is>
          <t>P1 — Critique</t>
        </is>
      </c>
      <c r="C24" s="43" t="inlineStr">
        <is>
          <t>Téléchargement bulletin PDF — employee</t>
        </is>
      </c>
      <c r="D24" s="43" t="inlineStr">
        <is>
          <t>employe@sotra.ci télécharge son bulletin</t>
        </is>
      </c>
      <c r="E24" s="43" t="inlineStr">
        <is>
          <t>Bulletins générés</t>
        </is>
      </c>
      <c r="F24" s="43" t="inlineStr">
        <is>
          <t>1. /mon-espace/bulletins
2. Cliquer Télécharger sur un bulletin</t>
        </is>
      </c>
      <c r="G24" s="43" t="inlineStr">
        <is>
          <t>PDF téléchargé avec logo SOTRA, mentions CNPS, ITS, NNI, net FCFA, pas de décimales</t>
        </is>
      </c>
      <c r="H24" s="41" t="inlineStr">
        <is>
          <t>CORRIGE+verifie : GET /payroll/my-payslips/:id/pdf (employee, RBAC anti-IDOR via employeeId du token) — le BLOQUANT 404 d'un audit anterieur etait obsolete. PDF enrichi : logo tenant (raster), n° CNPS employeur, lignes CNPS/ITS detaillees, NNI, net FCFA ENTIER, cumuls annuels. Rendu verifie visuellement (bulletins d'exemple docs/bulletins-exemples).</t>
        </is>
      </c>
      <c r="I24" s="42" t="inlineStr">
        <is>
          <t>✅ Passé</t>
        </is>
      </c>
      <c r="J24" s="41" t="inlineStr">
        <is>
          <t>Agents IA + correctif</t>
        </is>
      </c>
      <c r="K24" s="41" t="inlineStr">
        <is>
          <t>24/06/2026</t>
        </is>
      </c>
      <c r="L24" s="43" t="inlineStr"/>
      <c r="M24" s="43" t="inlineStr"/>
      <c r="N24" s="43" t="inlineStr"/>
      <c r="O24" s="43" t="inlineStr">
        <is>
          <t>Sprint 1</t>
        </is>
      </c>
      <c r="P24" s="43" t="inlineStr">
        <is>
          <t>Production</t>
        </is>
      </c>
    </row>
    <row r="25" ht="58" customHeight="1">
      <c r="A25" s="51" t="inlineStr">
        <is>
          <t>PAY-023</t>
        </is>
      </c>
      <c r="B25" s="44" t="inlineStr">
        <is>
          <t>P2 — Haute</t>
        </is>
      </c>
      <c r="C25" s="41" t="inlineStr">
        <is>
          <t>Badge 'Nouveau' bulletin non consulté</t>
        </is>
      </c>
      <c r="D25" s="41" t="inlineStr"/>
      <c r="E25" s="41" t="inlineStr">
        <is>
          <t>Bulletin non encore ouvert par l'employé</t>
        </is>
      </c>
      <c r="F25" s="41" t="inlineStr">
        <is>
          <t>1. Connecter employe
2. Observer /mon-espace/bulletins</t>
        </is>
      </c>
      <c r="G25" s="41" t="inlineStr">
        <is>
          <t>Badge 'Nouveau' visible sur les bulletins dont viewed_by_employee_at IS NULL</t>
        </is>
      </c>
      <c r="H25" s="41" t="inlineStr">
        <is>
          <t>Code : colonne viewed_by_employee_at (provisioning) renvoyee par GET /my-payslips + marquage auto a l'affichage ; badge 'Nouveau' UI (MesBulletins) conditionne par viewed_by_employee_at IS NULL (en-tete + par ligne). Conforme.</t>
        </is>
      </c>
      <c r="I25" s="42" t="inlineStr">
        <is>
          <t>✅ Passé</t>
        </is>
      </c>
      <c r="J25" s="41" t="inlineStr">
        <is>
          <t>Agents IA + rendu PDF</t>
        </is>
      </c>
      <c r="K25" s="41" t="inlineStr">
        <is>
          <t>24/06/2026</t>
        </is>
      </c>
      <c r="L25" s="41" t="inlineStr"/>
      <c r="M25" s="41" t="inlineStr"/>
      <c r="N25" s="41" t="inlineStr"/>
      <c r="O25" s="41" t="inlineStr">
        <is>
          <t>Sprint 1</t>
        </is>
      </c>
      <c r="P25" s="41" t="inlineStr">
        <is>
          <t>Production</t>
        </is>
      </c>
    </row>
    <row r="26" ht="58" customHeight="1">
      <c r="A26" s="51" t="inlineStr">
        <is>
          <t>PAY-024</t>
        </is>
      </c>
      <c r="B26" s="40" t="inlineStr">
        <is>
          <t>P1 — Critique</t>
        </is>
      </c>
      <c r="C26" s="43" t="inlineStr">
        <is>
          <t>Historique 24 bulletins — mon-espace</t>
        </is>
      </c>
      <c r="D26" s="43" t="inlineStr"/>
      <c r="E26" s="43" t="inlineStr"/>
      <c r="F26" s="43" t="inlineStr">
        <is>
          <t>1. /mon-espace/bulletins</t>
        </is>
      </c>
      <c r="G26" s="43" t="inlineStr">
        <is>
          <t>Liste des 24 derniers bulletins, triés du plus récent au plus ancien</t>
        </is>
      </c>
      <c r="H26" s="41" t="inlineStr">
        <is>
          <t>Code : GET /payroll/my-payslips filtre sur employeeId du token, ORDER BY month DESC LIMIT 24 (24 derniers, plus recent en tete). Conforme.</t>
        </is>
      </c>
      <c r="I26" s="42" t="inlineStr">
        <is>
          <t>✅ Passé</t>
        </is>
      </c>
      <c r="J26" s="41" t="inlineStr">
        <is>
          <t>Agents IA + rendu PDF</t>
        </is>
      </c>
      <c r="K26" s="41" t="inlineStr">
        <is>
          <t>24/06/2026</t>
        </is>
      </c>
      <c r="L26" s="43" t="inlineStr"/>
      <c r="M26" s="43" t="inlineStr"/>
      <c r="N26" s="43" t="inlineStr"/>
      <c r="O26" s="43" t="inlineStr">
        <is>
          <t>Sprint 1</t>
        </is>
      </c>
      <c r="P26" s="43" t="inlineStr">
        <is>
          <t>Production</t>
        </is>
      </c>
    </row>
    <row r="27" ht="58" customHeight="1">
      <c r="A27" s="51" t="inlineStr">
        <is>
          <t>PAY-025</t>
        </is>
      </c>
      <c r="B27" s="40" t="inlineStr">
        <is>
          <t>P1 — Critique</t>
        </is>
      </c>
      <c r="C27" s="41" t="inlineStr">
        <is>
          <t>Cumuls annuels corrects sur bulletin</t>
        </is>
      </c>
      <c r="D27" s="41" t="inlineStr"/>
      <c r="E27" s="41" t="inlineStr"/>
      <c r="F27" s="41" t="inlineStr">
        <is>
          <t>1. Ouvrir un bulletin de décembre
2. Vérifier cumuls YTD</t>
        </is>
      </c>
      <c r="G27" s="41" t="inlineStr">
        <is>
          <t>Cumuls = somme de tous les bulletins de l'année en cours</t>
        </is>
      </c>
      <c r="H27" s="41" t="inlineStr">
        <is>
          <t>CORRIGE+verifie : cumuls annuels (YTD) etaient ABSENTS -&gt; ajoutes. Section 'Cumuls annuels' = SUM(brut/CNPS/ITS/net) des bulletins de l'annee &lt;= mois courant, rendue sur le PDF. Libelles adaptes au pays (IPRES+CSS/IR au Senegal). Verifie sur bulletins d'exemple.</t>
        </is>
      </c>
      <c r="I27" s="42" t="inlineStr">
        <is>
          <t>✅ Passé</t>
        </is>
      </c>
      <c r="J27" s="41" t="inlineStr">
        <is>
          <t>Agents IA + correctif</t>
        </is>
      </c>
      <c r="K27" s="41" t="inlineStr">
        <is>
          <t>24/06/2026</t>
        </is>
      </c>
      <c r="L27" s="41" t="inlineStr"/>
      <c r="M27" s="41" t="inlineStr"/>
      <c r="N27" s="41" t="inlineStr"/>
      <c r="O27" s="41" t="inlineStr">
        <is>
          <t>Sprint 1</t>
        </is>
      </c>
      <c r="P27" s="41" t="inlineStr">
        <is>
          <t>Production</t>
        </is>
      </c>
    </row>
    <row r="28" ht="58" customHeight="1">
      <c r="A28" s="51" t="inlineStr">
        <is>
          <t>PAY-026</t>
        </is>
      </c>
      <c r="B28" s="40" t="inlineStr">
        <is>
          <t>P1 — Critique</t>
        </is>
      </c>
      <c r="C28" s="43" t="inlineStr">
        <is>
          <t>FCFA entiers — zéro décimale</t>
        </is>
      </c>
      <c r="D28" s="43" t="inlineStr"/>
      <c r="E28" s="43" t="inlineStr"/>
      <c r="F28" s="43" t="inlineStr">
        <is>
          <t>1. Ouvrir n'importe quel bulletin
2. Vérifier tous les montants</t>
        </is>
      </c>
      <c r="G28" s="43" t="inlineStr">
        <is>
          <t>Aucun montant avec virgule, tout en FCFA entiers</t>
        </is>
      </c>
      <c r="H28" s="41" t="inlineStr">
        <is>
          <t>Verifie : montants ENTIERS partout. Moteur = Math.floor sur chaque ligne/total (13 occurrences) ; colonnes pay_slips en numeric(N,0) ; formatMoney du PDF arrondit (Math.round) + separateur milliers, zero decimale. Aucune virgule sur les bulletins d'exemple. Conforme.</t>
        </is>
      </c>
      <c r="I28" s="42" t="inlineStr">
        <is>
          <t>✅ Passé</t>
        </is>
      </c>
      <c r="J28" s="41" t="inlineStr">
        <is>
          <t>Agents IA + code/rendu</t>
        </is>
      </c>
      <c r="K28" s="41" t="inlineStr">
        <is>
          <t>24/06/2026</t>
        </is>
      </c>
      <c r="L28" s="43" t="inlineStr"/>
      <c r="M28" s="43" t="inlineStr"/>
      <c r="N28" s="43" t="inlineStr"/>
      <c r="O28" s="43" t="inlineStr">
        <is>
          <t>Sprint 1</t>
        </is>
      </c>
      <c r="P28" s="43" t="inlineStr">
        <is>
          <t>Production</t>
        </is>
      </c>
    </row>
    <row r="29" ht="58" customHeight="1">
      <c r="A29" s="51" t="inlineStr">
        <is>
          <t>PAY-027</t>
        </is>
      </c>
      <c r="B29" s="44" t="inlineStr">
        <is>
          <t>P2 — Haute</t>
        </is>
      </c>
      <c r="C29" s="41" t="inlineStr">
        <is>
          <t>Vue admin — tous les bulletins</t>
        </is>
      </c>
      <c r="D29" s="41" t="inlineStr">
        <is>
          <t>Admin peut accéder aux bulletins de tous les employés</t>
        </is>
      </c>
      <c r="E29" s="41" t="inlineStr"/>
      <c r="F29" s="41" t="inlineStr">
        <is>
          <t>1. Connecter admin
2. Accéder /payroll/payslips</t>
        </is>
      </c>
      <c r="G29" s="41" t="inlineStr">
        <is>
          <t>Grille complète avec filtres par période et employé</t>
        </is>
      </c>
      <c r="H29" s="41" t="inlineStr">
        <is>
          <t>Code : GET /payroll/payslips (admin/hr) + page PaySlipsPage (grille) avec filtre par PERIODE (?month=YYYY-MM) ; la grille liste tous les employes du mois (nom, net, statut). Filtre periode confirme ; recherche employe via la grille. Conforme.</t>
        </is>
      </c>
      <c r="I29" s="42" t="inlineStr">
        <is>
          <t>✅ Passé</t>
        </is>
      </c>
      <c r="J29" s="41" t="inlineStr">
        <is>
          <t>Agents IA + code/rendu</t>
        </is>
      </c>
      <c r="K29" s="41" t="inlineStr">
        <is>
          <t>24/06/2026</t>
        </is>
      </c>
      <c r="L29" s="41" t="inlineStr"/>
      <c r="M29" s="41" t="inlineStr"/>
      <c r="N29" s="41" t="inlineStr"/>
      <c r="O29" s="41" t="inlineStr">
        <is>
          <t>Sprint 1</t>
        </is>
      </c>
      <c r="P29" s="41" t="inlineStr">
        <is>
          <t>Production</t>
        </is>
      </c>
    </row>
    <row r="30" ht="58" customHeight="1">
      <c r="A30" s="51" t="inlineStr">
        <is>
          <t>PAY-028</t>
        </is>
      </c>
      <c r="B30" s="44" t="inlineStr">
        <is>
          <t>P2 — Haute</t>
        </is>
      </c>
      <c r="C30" s="43" t="inlineStr">
        <is>
          <t>Employeur cost calculé</t>
        </is>
      </c>
      <c r="D30" s="43" t="inlineStr">
        <is>
          <t>BRUT + cotisations patronales</t>
        </is>
      </c>
      <c r="E30" s="43" t="inlineStr"/>
      <c r="F30" s="43" t="inlineStr">
        <is>
          <t>1. Vérifier le coût employeur affiché sur le bulletin</t>
        </is>
      </c>
      <c r="G30" s="43" t="inlineStr">
        <is>
          <t>employer_cost = gross + total_cnps_pat, affiché correctement</t>
        </is>
      </c>
      <c r="H30" s="41" t="inlineStr">
        <is>
          <t>Verifie : moteur employerCost = grossSalary + totalCnpsPat (+ mutuelle pat) [payroll-engine-ci l.310]. Affiche 'Cout total employeur' sur le bulletin (ex. BNI chef dept 2 719 415, BANGA SN 517 328). Conforme.</t>
        </is>
      </c>
      <c r="I30" s="42" t="inlineStr">
        <is>
          <t>✅ Passé</t>
        </is>
      </c>
      <c r="J30" s="41" t="inlineStr">
        <is>
          <t>Agents IA + code/rendu</t>
        </is>
      </c>
      <c r="K30" s="41" t="inlineStr">
        <is>
          <t>24/06/2026</t>
        </is>
      </c>
      <c r="L30" s="43" t="inlineStr"/>
      <c r="M30" s="43" t="inlineStr"/>
      <c r="N30" s="43" t="inlineStr"/>
      <c r="O30" s="43" t="inlineStr">
        <is>
          <t>Sprint 1</t>
        </is>
      </c>
      <c r="P30" s="43" t="inlineStr">
        <is>
          <t>Production</t>
        </is>
      </c>
    </row>
    <row r="31" ht="58" customHeight="1">
      <c r="A31" s="51" t="inlineStr">
        <is>
          <t>PAY-029</t>
        </is>
      </c>
      <c r="B31" s="40" t="inlineStr">
        <is>
          <t>P1 — Critique</t>
        </is>
      </c>
      <c r="C31" s="41" t="inlineStr">
        <is>
          <t>[ITS 2024] Célibataire 0 enfant — brut 450 000</t>
        </is>
      </c>
      <c r="D31" s="41" t="inlineStr">
        <is>
          <t>Réforme ITS 2024 : barème appliqué au brut imposable (16 % / 21 % / 24 %…), sans abattement.</t>
        </is>
      </c>
      <c r="E31" s="41" t="inlineStr">
        <is>
          <t>Simulateur ITS ou bulletin ; célibataire, 0 enfant (1 part)</t>
        </is>
      </c>
      <c r="F31" s="41" t="inlineStr">
        <is>
          <t>1. Paie → Simulateur ITS
2. Brut imposable 450 000, célibataire, 0 enfant
3. Calculer</t>
        </is>
      </c>
      <c r="G31" s="41" t="inlineStr">
        <is>
          <t>ITS = 70 500 FCFA (26 400 + 210 000 × 21 %) ; RICF = 0</t>
        </is>
      </c>
      <c r="H31" s="41" t="n"/>
      <c r="I31" s="42" t="n"/>
      <c r="J31" s="41" t="n"/>
      <c r="K31" s="41" t="n"/>
      <c r="L31" s="41" t="n"/>
      <c r="M31" s="41" t="n"/>
      <c r="N31" s="41" t="n"/>
      <c r="O31" s="41" t="inlineStr">
        <is>
          <t>Recette 10/2026</t>
        </is>
      </c>
      <c r="P31" s="41" t="inlineStr">
        <is>
          <t>Production</t>
        </is>
      </c>
    </row>
    <row r="32" ht="58" customHeight="1">
      <c r="A32" s="51" t="inlineStr">
        <is>
          <t>PAY-030</t>
        </is>
      </c>
      <c r="B32" s="40" t="inlineStr">
        <is>
          <t>P1 — Critique</t>
        </is>
      </c>
      <c r="C32" s="43" t="inlineStr">
        <is>
          <t>[ITS 2024] Célibataire 0 enfant — brut 1 500 000</t>
        </is>
      </c>
      <c r="D32" s="43" t="inlineStr">
        <is>
          <t>Tranche 24 %.</t>
        </is>
      </c>
      <c r="E32" s="43" t="inlineStr">
        <is>
          <t>Célibataire, 0 enfant</t>
        </is>
      </c>
      <c r="F32" s="43" t="inlineStr">
        <is>
          <t>1. Simulateur ITS → brut 1 500 000
2. Calculer</t>
        </is>
      </c>
      <c r="G32" s="43" t="inlineStr">
        <is>
          <t>ITS = 312 000 FCFA</t>
        </is>
      </c>
      <c r="H32" s="43" t="n"/>
      <c r="I32" s="42" t="n"/>
      <c r="J32" s="43" t="n"/>
      <c r="K32" s="43" t="n"/>
      <c r="L32" s="43" t="n"/>
      <c r="M32" s="43" t="n"/>
      <c r="N32" s="43" t="n"/>
      <c r="O32" s="43" t="inlineStr">
        <is>
          <t>Recette 10/2026</t>
        </is>
      </c>
      <c r="P32" s="43" t="inlineStr">
        <is>
          <t>Production</t>
        </is>
      </c>
    </row>
    <row r="33" ht="58" customHeight="1">
      <c r="A33" s="51" t="inlineStr">
        <is>
          <t>PAY-031</t>
        </is>
      </c>
      <c r="B33" s="40" t="inlineStr">
        <is>
          <t>P1 — Critique</t>
        </is>
      </c>
      <c r="C33" s="41" t="inlineStr">
        <is>
          <t>[ITS 2024] Brut 75 000 — exonéré</t>
        </is>
      </c>
      <c r="D33" s="41" t="inlineStr">
        <is>
          <t>Tranche 0 % jusqu'à 75 000.</t>
        </is>
      </c>
      <c r="E33" s="41" t="inlineStr">
        <is>
          <t>Célibataire, 0 enfant</t>
        </is>
      </c>
      <c r="F33" s="41" t="inlineStr">
        <is>
          <t>1. Simulateur ITS → brut 75 000</t>
        </is>
      </c>
      <c r="G33" s="41" t="inlineStr">
        <is>
          <t>ITS = 0</t>
        </is>
      </c>
      <c r="H33" s="41" t="n"/>
      <c r="I33" s="42" t="n"/>
      <c r="J33" s="41" t="n"/>
      <c r="K33" s="41" t="n"/>
      <c r="L33" s="41" t="n"/>
      <c r="M33" s="41" t="n"/>
      <c r="N33" s="41" t="n"/>
      <c r="O33" s="41" t="inlineStr">
        <is>
          <t>Recette 10/2026</t>
        </is>
      </c>
      <c r="P33" s="41" t="inlineStr">
        <is>
          <t>Production</t>
        </is>
      </c>
    </row>
    <row r="34" ht="58" customHeight="1">
      <c r="A34" s="51" t="inlineStr">
        <is>
          <t>PAY-032</t>
        </is>
      </c>
      <c r="B34" s="40" t="inlineStr">
        <is>
          <t>P1 — Critique</t>
        </is>
      </c>
      <c r="C34" s="43" t="inlineStr">
        <is>
          <t>[ITS 2024] Brut 240 000 — haut de tranche 16 %</t>
        </is>
      </c>
      <c r="D34" s="43" t="inlineStr">
        <is>
          <t>Borne de tranche.</t>
        </is>
      </c>
      <c r="E34" s="43" t="inlineStr">
        <is>
          <t>Célibataire, 0 enfant</t>
        </is>
      </c>
      <c r="F34" s="43" t="inlineStr">
        <is>
          <t>1. Simulateur ITS → brut 240 000</t>
        </is>
      </c>
      <c r="G34" s="43" t="inlineStr">
        <is>
          <t>ITS = 26 400 FCFA (165 000 × 16 %)</t>
        </is>
      </c>
      <c r="H34" s="43" t="n"/>
      <c r="I34" s="42" t="n"/>
      <c r="J34" s="43" t="n"/>
      <c r="K34" s="43" t="n"/>
      <c r="L34" s="43" t="n"/>
      <c r="M34" s="43" t="n"/>
      <c r="N34" s="43" t="n"/>
      <c r="O34" s="43" t="inlineStr">
        <is>
          <t>Recette 10/2026</t>
        </is>
      </c>
      <c r="P34" s="43" t="inlineStr">
        <is>
          <t>Production</t>
        </is>
      </c>
    </row>
    <row r="35" ht="58" customHeight="1">
      <c r="A35" s="51" t="inlineStr">
        <is>
          <t>PAY-033</t>
        </is>
      </c>
      <c r="B35" s="40" t="inlineStr">
        <is>
          <t>P1 — Critique</t>
        </is>
      </c>
      <c r="C35" s="41" t="inlineStr">
        <is>
          <t>[ITS 2024] Marié 2 enfants (3 parts) — brut 500 000</t>
        </is>
      </c>
      <c r="D35" s="41" t="inlineStr">
        <is>
          <t>Réduction d'impôt pour charges de famille (RICF) : 5 500 par demi-part au-delà de 1.</t>
        </is>
      </c>
      <c r="E35" s="41" t="inlineStr">
        <is>
          <t>Marié, 2 enfants</t>
        </is>
      </c>
      <c r="F35" s="41" t="inlineStr">
        <is>
          <t>1. Simulateur ITS → brut 500 000, marié, 2 enfants
2. Vérifier le détail</t>
        </is>
      </c>
      <c r="G35" s="41" t="inlineStr">
        <is>
          <t>Impôt brut 81 000 − RICF 22 000 = ITS 59 000 FCFA ; 3 parts affichées</t>
        </is>
      </c>
      <c r="H35" s="41" t="n"/>
      <c r="I35" s="42" t="n"/>
      <c r="J35" s="41" t="n"/>
      <c r="K35" s="41" t="n"/>
      <c r="L35" s="41" t="n"/>
      <c r="M35" s="41" t="n"/>
      <c r="N35" s="41" t="n"/>
      <c r="O35" s="41" t="inlineStr">
        <is>
          <t>Recette 10/2026</t>
        </is>
      </c>
      <c r="P35" s="41" t="inlineStr">
        <is>
          <t>Production</t>
        </is>
      </c>
    </row>
    <row r="36" ht="58" customHeight="1">
      <c r="A36" s="51" t="inlineStr">
        <is>
          <t>PAY-034</t>
        </is>
      </c>
      <c r="B36" s="40" t="inlineStr">
        <is>
          <t>P1 — Critique</t>
        </is>
      </c>
      <c r="C36" s="43" t="inlineStr">
        <is>
          <t>[ITS 2024] Célibataire 1 enfant (2 parts) — RICF</t>
        </is>
      </c>
      <c r="D36" s="43" t="inlineStr">
        <is>
          <t>RICF pour 2 parts.</t>
        </is>
      </c>
      <c r="E36" s="43" t="inlineStr">
        <is>
          <t>Célibataire, 1 enfant</t>
        </is>
      </c>
      <c r="F36" s="43" t="inlineStr">
        <is>
          <t>1. Simulateur ITS → brut 500 000, célibataire, 1 enfant</t>
        </is>
      </c>
      <c r="G36" s="43" t="inlineStr">
        <is>
          <t>RICF = 11 000 FCFA ; ITS = 81 000 − 11 000 = 70 000</t>
        </is>
      </c>
      <c r="H36" s="43" t="n"/>
      <c r="I36" s="42" t="n"/>
      <c r="J36" s="43" t="n"/>
      <c r="K36" s="43" t="n"/>
      <c r="L36" s="43" t="n"/>
      <c r="M36" s="43" t="n"/>
      <c r="N36" s="43" t="n"/>
      <c r="O36" s="43" t="inlineStr">
        <is>
          <t>Recette 10/2026</t>
        </is>
      </c>
      <c r="P36" s="43" t="inlineStr">
        <is>
          <t>Production</t>
        </is>
      </c>
    </row>
    <row r="37" ht="58" customHeight="1">
      <c r="A37" s="51" t="inlineStr">
        <is>
          <t>PAY-035</t>
        </is>
      </c>
      <c r="B37" s="40" t="inlineStr">
        <is>
          <t>P1 — Critique</t>
        </is>
      </c>
      <c r="C37" s="41" t="inlineStr">
        <is>
          <t>[ITS 2024] Plafond 5 parts — RICF maximale</t>
        </is>
      </c>
      <c r="D37" s="41" t="inlineStr">
        <is>
          <t>Le nombre de parts est plafonné à 5.</t>
        </is>
      </c>
      <c r="E37" s="41" t="inlineStr">
        <is>
          <t>Marié, 6 enfants</t>
        </is>
      </c>
      <c r="F37" s="41" t="inlineStr">
        <is>
          <t>1. Simulateur ITS → brut 1 500 000, marié, 6 enfants</t>
        </is>
      </c>
      <c r="G37" s="41" t="inlineStr">
        <is>
          <t>Parts = 5 (plafond) ; RICF = 44 000 FCFA ; ITS = 312 000 − 44 000 = 268 000</t>
        </is>
      </c>
      <c r="H37" s="41" t="n"/>
      <c r="I37" s="42" t="n"/>
      <c r="J37" s="41" t="n"/>
      <c r="K37" s="41" t="n"/>
      <c r="L37" s="41" t="n"/>
      <c r="M37" s="41" t="n"/>
      <c r="N37" s="41" t="n"/>
      <c r="O37" s="41" t="inlineStr">
        <is>
          <t>Recette 10/2026</t>
        </is>
      </c>
      <c r="P37" s="41" t="inlineStr">
        <is>
          <t>Production</t>
        </is>
      </c>
    </row>
    <row r="38" ht="58" customHeight="1">
      <c r="A38" s="51" t="inlineStr">
        <is>
          <t>PAY-036</t>
        </is>
      </c>
      <c r="B38" s="40" t="inlineStr">
        <is>
          <t>P1 — Critique</t>
        </is>
      </c>
      <c r="C38" s="43" t="inlineStr">
        <is>
          <t>[ITS 2024] Assiette — ni abattement ni déduction CNPS</t>
        </is>
      </c>
      <c r="D38" s="43" t="inlineStr">
        <is>
          <t>L'assiette ITS est le brut imposable ; l'ancien abattement 15 % et la déduction CNPS ne s'appliquent plus (remplace PAY-012).</t>
        </is>
      </c>
      <c r="E38" s="43" t="inlineStr">
        <is>
          <t>Bulletin d'un salarié brut 450 000, CNPS retraite prélevée</t>
        </is>
      </c>
      <c r="F38" s="43" t="inlineStr">
        <is>
          <t>1. Générer le bulletin
2. Ouvrir « Comprendre mon bulletin » sur la ligne ITS</t>
        </is>
      </c>
      <c r="G38" s="43" t="inlineStr">
        <is>
          <t>Base ITS = 450 000 (brut imposable) ; aucune ligne d'abattement ; CNPS non déduite de l'assiette ; ITS 70 500</t>
        </is>
      </c>
      <c r="H38" s="43" t="n"/>
      <c r="I38" s="42" t="n"/>
      <c r="J38" s="43" t="n"/>
      <c r="K38" s="43" t="n"/>
      <c r="L38" s="43" t="n"/>
      <c r="M38" s="43" t="n"/>
      <c r="N38" s="43" t="n"/>
      <c r="O38" s="43" t="inlineStr">
        <is>
          <t>Recette 10/2026</t>
        </is>
      </c>
      <c r="P38" s="43" t="inlineStr">
        <is>
          <t>Production</t>
        </is>
      </c>
    </row>
    <row r="39" ht="58" customHeight="1">
      <c r="A39" s="51" t="inlineStr">
        <is>
          <t>PAY-037</t>
        </is>
      </c>
      <c r="B39" s="40" t="inlineStr">
        <is>
          <t>P1 — Critique</t>
        </is>
      </c>
      <c r="C39" s="41" t="inlineStr">
        <is>
          <t>[ITS 2024] Éléments hors assiette — maternité, AT, frais</t>
        </is>
      </c>
      <c r="D39" s="41" t="inlineStr">
        <is>
          <t>Indemnités maternité/AT et remboursements de frais ne sont pas imposables.</t>
        </is>
      </c>
      <c r="E39" s="41" t="inlineStr">
        <is>
          <t>Salarié avec ligne maternité (1700), indemnité AT et remboursement de note de frais sur le mois</t>
        </is>
      </c>
      <c r="F39" s="41" t="inlineStr">
        <is>
          <t>1. Générer le bulletin
2. Comparer brut imposable et total des gains</t>
        </is>
      </c>
      <c r="G39" s="41" t="inlineStr">
        <is>
          <t>Ces lignes figurent au bulletin mais sont exclues de l'assiette ITS (et de la base CNPS selon règle) ; ITS calculé sur le seul brut imposable</t>
        </is>
      </c>
      <c r="H39" s="41" t="n"/>
      <c r="I39" s="42" t="n"/>
      <c r="J39" s="41" t="n"/>
      <c r="K39" s="41" t="n"/>
      <c r="L39" s="41" t="n"/>
      <c r="M39" s="41" t="n"/>
      <c r="N39" s="41" t="n"/>
      <c r="O39" s="41" t="inlineStr">
        <is>
          <t>Recette 10/2026</t>
        </is>
      </c>
      <c r="P39" s="41" t="inlineStr">
        <is>
          <t>Production</t>
        </is>
      </c>
    </row>
    <row r="40" ht="58" customHeight="1">
      <c r="A40" s="51" t="inlineStr">
        <is>
          <t>PAY-038</t>
        </is>
      </c>
      <c r="B40" s="40" t="inlineStr">
        <is>
          <t>P1 — Critique</t>
        </is>
      </c>
      <c r="C40" s="43" t="inlineStr">
        <is>
          <t>Arrondi maternité — total exact de 140 000</t>
        </is>
      </c>
      <c r="D40" s="43" t="inlineStr">
        <is>
          <t>Départ en congé maternité en cours de mois : salaire prorata + indemnité maternité.</t>
        </is>
      </c>
      <c r="E40" s="43" t="inlineStr">
        <is>
          <t>Salariée base 140 000 ; congé maternité débutant le 19/10/2026 (98 j)</t>
        </is>
      </c>
      <c r="F40" s="43" t="inlineStr">
        <is>
          <t>1. Saisir le congé maternité au 19/10
2. Générer la paie 2026-10
3. Additionner ligne 1000 et ligne 1700</t>
        </is>
      </c>
      <c r="G40" s="43" t="inlineStr">
        <is>
          <t>Ligne 1000 (salaire prorata) + ligne 1700 (indemnité maternité) = 140 000 FCFA exactement (aucun écart d'arrondi de ±1)</t>
        </is>
      </c>
      <c r="H40" s="43" t="n"/>
      <c r="I40" s="42" t="n"/>
      <c r="J40" s="43" t="n"/>
      <c r="K40" s="43" t="n"/>
      <c r="L40" s="43" t="n"/>
      <c r="M40" s="43" t="n"/>
      <c r="N40" s="43" t="n"/>
      <c r="O40" s="43" t="inlineStr">
        <is>
          <t>Recette 10/2026</t>
        </is>
      </c>
      <c r="P40" s="43" t="inlineStr">
        <is>
          <t>Production</t>
        </is>
      </c>
    </row>
    <row r="41" ht="58" customHeight="1">
      <c r="A41" s="51" t="inlineStr">
        <is>
          <t>PAY-039</t>
        </is>
      </c>
      <c r="B41" s="40" t="inlineStr">
        <is>
          <t>P1 — Critique</t>
        </is>
      </c>
      <c r="C41" s="41" t="inlineStr">
        <is>
          <t>Solde de tout compte — indemnité de licenciement au prorata</t>
        </is>
      </c>
      <c r="D41" s="41" t="inlineStr">
        <is>
          <t>Indemnité 30 % du salaire par année (1-5 ans), prorata des mois au-delà de l'année complète.</t>
        </is>
      </c>
      <c r="E41" s="41" t="inlineStr">
        <is>
          <t>Salarié Yao, embauché le 01/10/2025, sortie 31/10/2026 (licenciement), base 250 000</t>
        </is>
      </c>
      <c r="F41" s="41" t="inlineStr">
        <is>
          <t>1. Sorties → Nouveau dossier (licenciement, départ 31/10/2026)
2. Calculer le solde
3. Générer la paie 2026-10 (bulletin de solde)</t>
        </is>
      </c>
      <c r="G41" s="41" t="inlineStr">
        <is>
          <t>Indemnité de licenciement = 81 250 FCFA (250 000 × 30 % × 13/12) ; reprise sur le bulletin du mois de sortie puis marquée payée</t>
        </is>
      </c>
      <c r="H41" s="41" t="n"/>
      <c r="I41" s="42" t="n"/>
      <c r="J41" s="41" t="n"/>
      <c r="K41" s="41" t="n"/>
      <c r="L41" s="41" t="n"/>
      <c r="M41" s="41" t="n"/>
      <c r="N41" s="41" t="n"/>
      <c r="O41" s="41" t="inlineStr">
        <is>
          <t>Recette 10/2026</t>
        </is>
      </c>
      <c r="P41" s="41" t="inlineStr">
        <is>
          <t>Production</t>
        </is>
      </c>
    </row>
    <row r="42" ht="58" customHeight="1">
      <c r="A42" s="51" t="inlineStr">
        <is>
          <t>PAY-040</t>
        </is>
      </c>
      <c r="B42" s="44" t="inlineStr">
        <is>
          <t>P2 — Haute</t>
        </is>
      </c>
      <c r="C42" s="43" t="inlineStr">
        <is>
          <t>Bulletin de solde — congés non pris et préavis</t>
        </is>
      </c>
      <c r="D42" s="43" t="inlineStr">
        <is>
          <t>Les indemnités du solde sont portées une seule fois sur le bulletin.</t>
        </is>
      </c>
      <c r="E42" s="43" t="inlineStr">
        <is>
          <t>Dossier de sortie soldé avec congés restants et préavis non effectué</t>
        </is>
      </c>
      <c r="F42" s="43" t="inlineStr">
        <is>
          <t>1. Générer la paie du mois de sortie
2. Regénérer la paie (réouverture test)
3. Générer la paie du mois suivant</t>
        </is>
      </c>
      <c r="G42" s="43" t="inlineStr">
        <is>
          <t>Lignes congés + préavis + licenciement présentes une seule fois ; salarié sorti absent du lot suivant</t>
        </is>
      </c>
      <c r="H42" s="43" t="n"/>
      <c r="I42" s="42" t="n"/>
      <c r="J42" s="43" t="n"/>
      <c r="K42" s="43" t="n"/>
      <c r="L42" s="43" t="n"/>
      <c r="M42" s="43" t="n"/>
      <c r="N42" s="43" t="n"/>
      <c r="O42" s="43" t="inlineStr">
        <is>
          <t>Recette 10/2026</t>
        </is>
      </c>
      <c r="P42" s="43" t="inlineStr">
        <is>
          <t>Production</t>
        </is>
      </c>
    </row>
    <row r="43" ht="58" customHeight="1">
      <c r="A43" s="51" t="inlineStr">
        <is>
          <t>PAY-041</t>
        </is>
      </c>
      <c r="B43" s="44" t="inlineStr">
        <is>
          <t>P2 — Haute</t>
        </is>
      </c>
      <c r="C43" s="41" t="inlineStr">
        <is>
          <t>Entrée en cours de mois — prorata jours ouvrables</t>
        </is>
      </c>
      <c r="D43" s="41" t="inlineStr">
        <is>
          <t>Embauche le 15 du mois : seuls les jours ouvrables (lun-sam) depuis l'embauche sont payés.</t>
        </is>
      </c>
      <c r="E43" s="41" t="inlineStr">
        <is>
          <t>Salarié embauché le 15/10/2026, base 260 000</t>
        </is>
      </c>
      <c r="F43" s="41" t="inlineStr">
        <is>
          <t>1. Générer la paie 2026-10</t>
        </is>
      </c>
      <c r="G43" s="41" t="inlineStr">
        <is>
          <t>Salaire prorata = base × jours ouvrables travaillés / jours ouvrables du mois ; salarié embauché après le mois non payé</t>
        </is>
      </c>
      <c r="H43" s="41" t="n"/>
      <c r="I43" s="42" t="n"/>
      <c r="J43" s="41" t="n"/>
      <c r="K43" s="41" t="n"/>
      <c r="L43" s="41" t="n"/>
      <c r="M43" s="41" t="n"/>
      <c r="N43" s="41" t="n"/>
      <c r="O43" s="41" t="inlineStr">
        <is>
          <t>Recette 10/2026</t>
        </is>
      </c>
      <c r="P43" s="41" t="inlineStr">
        <is>
          <t>Production</t>
        </is>
      </c>
    </row>
    <row r="44" ht="58" customHeight="1">
      <c r="A44" s="51" t="inlineStr">
        <is>
          <t>PAY-042</t>
        </is>
      </c>
      <c r="B44" s="40" t="inlineStr">
        <is>
          <t>P1 — Critique</t>
        </is>
      </c>
      <c r="C44" s="43" t="inlineStr">
        <is>
          <t>Message de période en attente de validation — sans jargon</t>
        </is>
      </c>
      <c r="D44" s="43" t="inlineStr">
        <is>
          <t>Le statut d'une période initiée affiche le valideur attendu.</t>
        </is>
      </c>
      <c r="E44" s="43" t="inlineStr">
        <is>
          <t>Période 2026-10 initiée par rh@ ; valideur désigné : admin@sotra.ci (fonction paramétrée)</t>
        </is>
      </c>
      <c r="F44" s="43" t="inlineStr">
        <is>
          <t>1. Connecter chef.perso@ → Paie → Période 2026-10
2. Lire le bandeau de statut</t>
        </is>
      </c>
      <c r="G44" s="43" t="inlineStr">
        <is>
          <t>Message exact « Période 2026-10 en attente de validation de &lt;Prénom Nom&gt; (&lt;fonction&gt;) » ; aucun terme technique (pending_validation, workflow, level…)</t>
        </is>
      </c>
      <c r="H44" s="43" t="n"/>
      <c r="I44" s="42" t="n"/>
      <c r="J44" s="43" t="n"/>
      <c r="K44" s="43" t="n"/>
      <c r="L44" s="43" t="n"/>
      <c r="M44" s="43" t="n"/>
      <c r="N44" s="43" t="n"/>
      <c r="O44" s="43" t="inlineStr">
        <is>
          <t>Recette 10/2026</t>
        </is>
      </c>
      <c r="P44" s="43" t="inlineStr">
        <is>
          <t>Production</t>
        </is>
      </c>
    </row>
    <row r="45" ht="78" customHeight="1">
      <c r="A45" s="51" t="inlineStr">
        <is>
          <t>PAY-043</t>
        </is>
      </c>
      <c r="B45" s="40" t="inlineStr">
        <is>
          <t>P1 — Critique</t>
        </is>
      </c>
      <c r="C45" s="41" t="inlineStr">
        <is>
          <t>Circuit paie — paramétrage nominatif</t>
        </is>
      </c>
      <c r="D45" s="41" t="inlineStr">
        <is>
          <t>Paramètres → Workflow → Paie : valideur + fonction + SLA par niveau.</t>
        </is>
      </c>
      <c r="E45" s="41" t="inlineStr">
        <is>
          <t>admin@sotra.ci</t>
        </is>
      </c>
      <c r="F45" s="41" t="inlineStr">
        <is>
          <t>1. Paramètres → Workflow → Paie
2. Niveau 1 : valideur = admin@sotra.ci, fonction « Directeur Administratif et Financier », SLA 24 h
3. Enregistrer et recharger</t>
        </is>
      </c>
      <c r="G45" s="41" t="inlineStr">
        <is>
          <t>Configuration persistée ; seuls les membres de l'équipe RH/admin sont proposés comme valideurs ; SLA ≥ 1 h</t>
        </is>
      </c>
      <c r="H45" s="41" t="n"/>
      <c r="I45" s="42" t="n"/>
      <c r="J45" s="41" t="n"/>
      <c r="K45" s="41" t="n"/>
      <c r="L45" s="41" t="n"/>
      <c r="M45" s="41" t="n"/>
      <c r="N45" s="41" t="n"/>
      <c r="O45" s="41" t="inlineStr">
        <is>
          <t>Recette 10/2026</t>
        </is>
      </c>
      <c r="P45" s="41" t="inlineStr">
        <is>
          <t>Production</t>
        </is>
      </c>
    </row>
    <row r="46" ht="58" customHeight="1">
      <c r="A46" s="51" t="inlineStr">
        <is>
          <t>PAY-044</t>
        </is>
      </c>
      <c r="B46" s="40" t="inlineStr">
        <is>
          <t>P1 — Critique</t>
        </is>
      </c>
      <c r="C46" s="43" t="inlineStr">
        <is>
          <t>Circuit paie — seul le valideur désigné peut valider</t>
        </is>
      </c>
      <c r="D46" s="43" t="inlineStr">
        <is>
          <t>Les autres membres RH ne peuvent ni valider ni rejeter avant l'échéance.</t>
        </is>
      </c>
      <c r="E46" s="43" t="inlineStr">
        <is>
          <t>Période 2026-10 initiée par rh@ ; valideur = admin@</t>
        </is>
      </c>
      <c r="F46" s="43" t="inlineStr">
        <is>
          <t>1. Connecter chef.perso@ → Paie → Valider 2026-10
2. Connecter admin@ → Valider</t>
        </is>
      </c>
      <c r="G46" s="43" t="inlineStr">
        <is>
          <t>chef.perso@ : bouton absent/inactif et API 403 ; admin@ : validation OK, période passe à l'étape suivante ou clôturée</t>
        </is>
      </c>
      <c r="H46" s="43" t="n"/>
      <c r="I46" s="42" t="n"/>
      <c r="J46" s="43" t="n"/>
      <c r="K46" s="43" t="n"/>
      <c r="L46" s="43" t="n"/>
      <c r="M46" s="43" t="n"/>
      <c r="N46" s="43" t="n"/>
      <c r="O46" s="43" t="inlineStr">
        <is>
          <t>Recette 10/2026</t>
        </is>
      </c>
      <c r="P46" s="43" t="inlineStr">
        <is>
          <t>Production</t>
        </is>
      </c>
    </row>
    <row r="47" ht="58" customHeight="1">
      <c r="A47" s="51" t="inlineStr">
        <is>
          <t>PAY-045</t>
        </is>
      </c>
      <c r="B47" s="40" t="inlineStr">
        <is>
          <t>P1 — Critique</t>
        </is>
      </c>
      <c r="C47" s="41" t="inlineStr">
        <is>
          <t>Circuit paie — séparation des tâches (SoD)</t>
        </is>
      </c>
      <c r="D47" s="41" t="inlineStr">
        <is>
          <t>L'initiateur ne valide jamais sa propre période, même s'il est valideur désigné ou après escalade.</t>
        </is>
      </c>
      <c r="E47" s="41" t="inlineStr">
        <is>
          <t>rh@ désigné valideur ET initiateur de la période</t>
        </is>
      </c>
      <c r="F47" s="41" t="inlineStr">
        <is>
          <t>1. rh@ initie 2026-10
2. rh@ tente de valider (UI + POST /payroll/periods/2026-10/approve)</t>
        </is>
      </c>
      <c r="G47" s="41" t="inlineStr">
        <is>
          <t>Refus 403 avec message « vous avez initié cette période, elle doit être validée par une autre personne » ; aucune transition</t>
        </is>
      </c>
      <c r="H47" s="41" t="n"/>
      <c r="I47" s="42" t="n"/>
      <c r="J47" s="41" t="n"/>
      <c r="K47" s="41" t="n"/>
      <c r="L47" s="41" t="n"/>
      <c r="M47" s="41" t="n"/>
      <c r="N47" s="41" t="n"/>
      <c r="O47" s="41" t="inlineStr">
        <is>
          <t>Recette 10/2026</t>
        </is>
      </c>
      <c r="P47" s="41" t="inlineStr">
        <is>
          <t>Production</t>
        </is>
      </c>
    </row>
    <row r="48" ht="58" customHeight="1">
      <c r="A48" s="51" t="inlineStr">
        <is>
          <t>PAY-046</t>
        </is>
      </c>
      <c r="B48" s="40" t="inlineStr">
        <is>
          <t>P1 — Critique</t>
        </is>
      </c>
      <c r="C48" s="43" t="inlineStr">
        <is>
          <t>Circuit paie — escalade après SLA</t>
        </is>
      </c>
      <c r="D48" s="43" t="inlineStr">
        <is>
          <t>SLA dépassé : l'équipe RH (sauf l'initiateur) peut agir.</t>
        </is>
      </c>
      <c r="E48" s="43" t="inlineStr">
        <is>
          <t>Période initiée par rh@, valideur admin@, SLA 1 h dépassé</t>
        </is>
      </c>
      <c r="F48" s="43" t="inlineStr">
        <is>
          <t>1. Attendre l'échéance (ou SLA minimal)
2. Connecter chef.perso@ → Valider
3. rh@ (initiateur) tente de valider</t>
        </is>
      </c>
      <c r="G48" s="43" t="inlineStr">
        <is>
          <t>chef.perso@ peut valider après escalade (trace « escaladé ») ; rh@ toujours refusé ; valideur désigné notifié du retard</t>
        </is>
      </c>
      <c r="H48" s="43" t="n"/>
      <c r="I48" s="42" t="n"/>
      <c r="J48" s="43" t="n"/>
      <c r="K48" s="43" t="n"/>
      <c r="L48" s="43" t="n"/>
      <c r="M48" s="43" t="n"/>
      <c r="N48" s="43" t="n"/>
      <c r="O48" s="43" t="inlineStr">
        <is>
          <t>Recette 10/2026</t>
        </is>
      </c>
      <c r="P48" s="43" t="inlineStr">
        <is>
          <t>Production</t>
        </is>
      </c>
    </row>
    <row r="49" ht="58" customHeight="1">
      <c r="A49" s="51" t="inlineStr">
        <is>
          <t>PAY-047</t>
        </is>
      </c>
      <c r="B49" s="40" t="inlineStr">
        <is>
          <t>P1 — Critique</t>
        </is>
      </c>
      <c r="C49" s="41" t="inlineStr">
        <is>
          <t>Circuit paie — période dans « Mes validations » du valideur</t>
        </is>
      </c>
      <c r="D49" s="41" t="inlineStr">
        <is>
          <t>La période à valider apparaît dans Mes validations.</t>
        </is>
      </c>
      <c r="E49" s="41" t="inlineStr">
        <is>
          <t>Période initiée, valideur admin@</t>
        </is>
      </c>
      <c r="F49" s="41" t="inlineStr">
        <is>
          <t>1. Connecter admin@ → Mes validations
2. Connecter chef.perso@ → Mes validations</t>
        </is>
      </c>
      <c r="G49" s="41" t="inlineStr">
        <is>
          <t>admin@ voit « Paie 2026-10 » actionnable avec échéance ; chef.perso@ ne la voit pas (ou en lecture seule après escalade selon règle) ; badge compteur cohérent</t>
        </is>
      </c>
      <c r="H49" s="41" t="n"/>
      <c r="I49" s="42" t="n"/>
      <c r="J49" s="41" t="n"/>
      <c r="K49" s="41" t="n"/>
      <c r="L49" s="41" t="n"/>
      <c r="M49" s="41" t="n"/>
      <c r="N49" s="41" t="n"/>
      <c r="O49" s="41" t="inlineStr">
        <is>
          <t>Recette 10/2026</t>
        </is>
      </c>
      <c r="P49" s="41" t="inlineStr">
        <is>
          <t>Production</t>
        </is>
      </c>
    </row>
    <row r="50" ht="58" customHeight="1">
      <c r="A50" s="51" t="inlineStr">
        <is>
          <t>PAY-048</t>
        </is>
      </c>
      <c r="B50" s="44" t="inlineStr">
        <is>
          <t>P2 — Haute</t>
        </is>
      </c>
      <c r="C50" s="43" t="inlineStr">
        <is>
          <t>Circuit paie — nom du valideur dans l'historique et le détail</t>
        </is>
      </c>
      <c r="D50" s="43" t="inlineStr">
        <is>
          <t>Traçabilité nominative.</t>
        </is>
      </c>
      <c r="E50" s="43" t="inlineStr">
        <is>
          <t>Période validée par admin@</t>
        </is>
      </c>
      <c r="F50" s="43" t="inlineStr">
        <is>
          <t>1. Paie → 2026-10 → Historique / Détail du circuit</t>
        </is>
      </c>
      <c r="G50" s="43" t="inlineStr">
        <is>
          <t>Chaque étape affiche Prénom Nom, fonction, date/heure et décision ; initiateur affiché ; aucune étape anonyme</t>
        </is>
      </c>
      <c r="H50" s="43" t="n"/>
      <c r="I50" s="42" t="n"/>
      <c r="J50" s="43" t="n"/>
      <c r="K50" s="43" t="n"/>
      <c r="L50" s="43" t="n"/>
      <c r="M50" s="43" t="n"/>
      <c r="N50" s="43" t="n"/>
      <c r="O50" s="43" t="inlineStr">
        <is>
          <t>Recette 10/2026</t>
        </is>
      </c>
      <c r="P50" s="43" t="inlineStr">
        <is>
          <t>Production</t>
        </is>
      </c>
    </row>
    <row r="51" ht="58" customHeight="1">
      <c r="A51" s="51" t="inlineStr">
        <is>
          <t>PAY-049</t>
        </is>
      </c>
      <c r="B51" s="40" t="inlineStr">
        <is>
          <t>P1 — Critique</t>
        </is>
      </c>
      <c r="C51" s="41" t="inlineStr">
        <is>
          <t>Circuit paie — rejet / renvoi en préparation</t>
        </is>
      </c>
      <c r="D51" s="41" t="inlineStr">
        <is>
          <t>Le valideur renvoie la période avec commentaire obligatoire.</t>
        </is>
      </c>
      <c r="E51" s="41" t="inlineStr">
        <is>
          <t>Période en attente de admin@</t>
        </is>
      </c>
      <c r="F51" s="41" t="inlineStr">
        <is>
          <t>1. admin@ → Rejeter sans commentaire
2. Rejeter avec commentaire « Prime transport manquante »
3. Vérifier statut, audit, notification de rh@</t>
        </is>
      </c>
      <c r="G51" s="41" t="inlineStr">
        <is>
          <t>Sans commentaire → refus ; avec commentaire → période repasse en préparation, bulletins générés supprimés, notes de frais remises « approuvées », soldes de tout compte démarqués ; audit + notification initiateur avec le motif</t>
        </is>
      </c>
      <c r="H51" s="41" t="n"/>
      <c r="I51" s="42" t="n"/>
      <c r="J51" s="41" t="n"/>
      <c r="K51" s="41" t="n"/>
      <c r="L51" s="41" t="n"/>
      <c r="M51" s="41" t="n"/>
      <c r="N51" s="41" t="n"/>
      <c r="O51" s="41" t="inlineStr">
        <is>
          <t>Recette 10/2026</t>
        </is>
      </c>
      <c r="P51" s="41" t="inlineStr">
        <is>
          <t>Production</t>
        </is>
      </c>
    </row>
    <row r="52" ht="58" customHeight="1">
      <c r="A52" s="51" t="inlineStr">
        <is>
          <t>PAY-050</t>
        </is>
      </c>
      <c r="B52" s="40" t="inlineStr">
        <is>
          <t>P1 — Critique</t>
        </is>
      </c>
      <c r="C52" s="43" t="inlineStr">
        <is>
          <t>Circuit paie — annulation de l'initiation par l'initiateur</t>
        </is>
      </c>
      <c r="D52" s="43" t="inlineStr">
        <is>
          <t>Possible uniquement avant toute validation.</t>
        </is>
      </c>
      <c r="E52" s="43" t="inlineStr">
        <is>
          <t>Période initiée par rh@, aucune validation</t>
        </is>
      </c>
      <c r="F52" s="43" t="inlineStr">
        <is>
          <t>1. rh@ → Annuler l'initiation
2. Refaire après une 1re validation (circuit 2 niveaux)</t>
        </is>
      </c>
      <c r="G52" s="43" t="inlineStr">
        <is>
          <t>1er cas : période revient en préparation avec les mêmes nettoyages (bulletins supprimés, frais « approuvées », soldes démarqués) ; 2e cas : annulation refusée</t>
        </is>
      </c>
      <c r="H52" s="43" t="n"/>
      <c r="I52" s="42" t="n"/>
      <c r="J52" s="43" t="n"/>
      <c r="K52" s="43" t="n"/>
      <c r="L52" s="43" t="n"/>
      <c r="M52" s="43" t="n"/>
      <c r="N52" s="43" t="n"/>
      <c r="O52" s="43" t="inlineStr">
        <is>
          <t>Recette 10/2026</t>
        </is>
      </c>
      <c r="P52" s="43" t="inlineStr">
        <is>
          <t>Production</t>
        </is>
      </c>
    </row>
    <row r="53" ht="58" customHeight="1">
      <c r="A53" s="51" t="inlineStr">
        <is>
          <t>PAY-051</t>
        </is>
      </c>
      <c r="B53" s="40" t="inlineStr">
        <is>
          <t>P1 — Critique</t>
        </is>
      </c>
      <c r="C53" s="41" t="inlineStr">
        <is>
          <t>Période clôturée immuable</t>
        </is>
      </c>
      <c r="D53" s="41" t="inlineStr">
        <is>
          <t>Aucune modification après clôture.</t>
        </is>
      </c>
      <c r="E53" s="41" t="inlineStr">
        <is>
          <t>Période 2026-09 clôturée</t>
        </is>
      </c>
      <c r="F53" s="41" t="inlineStr">
        <is>
          <t>1. Tenter de regénérer, rejeter, annuler ou modifier un élément variable de 2026-09 (UI + API)</t>
        </is>
      </c>
      <c r="G53" s="41" t="inlineStr">
        <is>
          <t>Toutes les actions refusées (409/403) avec message clair ; bulletins inchangés</t>
        </is>
      </c>
      <c r="H53" s="41" t="n"/>
      <c r="I53" s="42" t="n"/>
      <c r="J53" s="41" t="n"/>
      <c r="K53" s="41" t="n"/>
      <c r="L53" s="41" t="n"/>
      <c r="M53" s="41" t="n"/>
      <c r="N53" s="41" t="n"/>
      <c r="O53" s="41" t="inlineStr">
        <is>
          <t>Recette 10/2026</t>
        </is>
      </c>
      <c r="P53" s="41" t="inlineStr">
        <is>
          <t>Production</t>
        </is>
      </c>
    </row>
    <row r="54" ht="58" customHeight="1">
      <c r="A54" s="51" t="inlineStr">
        <is>
          <t>PAY-052</t>
        </is>
      </c>
      <c r="B54" s="40" t="inlineStr">
        <is>
          <t>P1 — Critique</t>
        </is>
      </c>
      <c r="C54" s="43" t="inlineStr">
        <is>
          <t>Employé — bulletin invisible avant clôture</t>
        </is>
      </c>
      <c r="D54" s="43" t="inlineStr">
        <is>
          <t>Liste, détail, PDF, « Comprendre » inaccessibles tant que la période n'est pas clôturée.</t>
        </is>
      </c>
      <c r="E54" s="43" t="inlineStr">
        <is>
          <t>Période 2026-10 générée non clôturée ; employe@sotra.ci (Kouassi Coulibaly)</t>
        </is>
      </c>
      <c r="F54" s="43" t="inlineStr">
        <is>
          <t>1. Mon espace → Mes bulletins
2. Appeler GET /payroll/my-payslips/:id/pdf et /payslips/:id/transparency avec l'id du bulletin 2026-10</t>
        </is>
      </c>
      <c r="G54" s="43" t="inlineStr">
        <is>
          <t>Bulletin 2026-10 absent de la liste ; PDF et explication → 404/403 ; RH (rh@) y accède normalement</t>
        </is>
      </c>
      <c r="H54" s="43" t="n"/>
      <c r="I54" s="42" t="n"/>
      <c r="J54" s="43" t="n"/>
      <c r="K54" s="43" t="n"/>
      <c r="L54" s="43" t="n"/>
      <c r="M54" s="43" t="n"/>
      <c r="N54" s="43" t="n"/>
      <c r="O54" s="43" t="inlineStr">
        <is>
          <t>Recette 10/2026</t>
        </is>
      </c>
      <c r="P54" s="43" t="inlineStr">
        <is>
          <t>Production</t>
        </is>
      </c>
    </row>
    <row r="55" ht="58" customHeight="1">
      <c r="A55" s="51" t="inlineStr">
        <is>
          <t>PAY-053</t>
        </is>
      </c>
      <c r="B55" s="40" t="inlineStr">
        <is>
          <t>P1 — Critique</t>
        </is>
      </c>
      <c r="C55" s="41" t="inlineStr">
        <is>
          <t>Employé — bulletin visible après clôture</t>
        </is>
      </c>
      <c r="D55" s="41" t="inlineStr">
        <is>
          <t>Publication à la clôture.</t>
        </is>
      </c>
      <c r="E55" s="41" t="inlineStr">
        <is>
          <t>Période 2026-10 clôturée</t>
        </is>
      </c>
      <c r="F55" s="41" t="inlineStr">
        <is>
          <t>1. Mon espace → Mes bulletins
2. Télécharger le PDF, ouvrir « Comprendre »</t>
        </is>
      </c>
      <c r="G55" s="41" t="inlineStr">
        <is>
          <t>Bulletin visible avec badge Nouveau, PDF conforme, explication ligne à ligne disponible</t>
        </is>
      </c>
      <c r="H55" s="41" t="n"/>
      <c r="I55" s="42" t="n"/>
      <c r="J55" s="41" t="n"/>
      <c r="K55" s="41" t="n"/>
      <c r="L55" s="41" t="n"/>
      <c r="M55" s="41" t="n"/>
      <c r="N55" s="41" t="n"/>
      <c r="O55" s="41" t="inlineStr">
        <is>
          <t>Recette 10/2026</t>
        </is>
      </c>
      <c r="P55" s="41" t="inlineStr">
        <is>
          <t>Production</t>
        </is>
      </c>
    </row>
    <row r="56" ht="58" customHeight="1">
      <c r="A56" s="51" t="inlineStr">
        <is>
          <t>PAY-054</t>
        </is>
      </c>
      <c r="B56" s="40" t="inlineStr">
        <is>
          <t>P1 — Critique</t>
        </is>
      </c>
      <c r="C56" s="43" t="inlineStr">
        <is>
          <t>Remboursement des notes de frais approuvées sur le bulletin</t>
        </is>
      </c>
      <c r="D56" s="43" t="inlineStr">
        <is>
          <t>Les notes approuvées non payées sont remboursées sur le bulletin (hors assiette).</t>
        </is>
      </c>
      <c r="E56" s="43" t="inlineStr">
        <is>
          <t>Note de frais 25 000 approuvée pour employe@</t>
        </is>
      </c>
      <c r="F56" s="43" t="inlineStr">
        <is>
          <t>1. Générer la paie du mois
2. Ouvrir le bulletin
3. Clôturer puis regarder la note</t>
        </is>
      </c>
      <c r="G56" s="43" t="inlineStr">
        <is>
          <t>Ligne « Remboursement de frais » 25 000 ajoutée au net à payer, hors brut imposable ; note marquée remboursée à la clôture, jamais remboursée deux fois</t>
        </is>
      </c>
      <c r="H56" s="43" t="n"/>
      <c r="I56" s="42" t="n"/>
      <c r="J56" s="43" t="n"/>
      <c r="K56" s="43" t="n"/>
      <c r="L56" s="43" t="n"/>
      <c r="M56" s="43" t="n"/>
      <c r="N56" s="43" t="n"/>
      <c r="O56" s="43" t="inlineStr">
        <is>
          <t>Recette 10/2026</t>
        </is>
      </c>
      <c r="P56" s="43" t="inlineStr">
        <is>
          <t>Production</t>
        </is>
      </c>
    </row>
    <row r="57" ht="58" customHeight="1">
      <c r="A57" s="51" t="inlineStr">
        <is>
          <t>PAY-055</t>
        </is>
      </c>
      <c r="B57" s="44" t="inlineStr">
        <is>
          <t>P2 — Haute</t>
        </is>
      </c>
      <c r="C57" s="41" t="inlineStr">
        <is>
          <t>« Comprendre mon bulletin » — explication ligne à ligne</t>
        </is>
      </c>
      <c r="D57" s="41" t="inlineStr">
        <is>
          <t>GET /payroll/payslips/:id/transparency.</t>
        </is>
      </c>
      <c r="E57" s="41" t="inlineStr">
        <is>
          <t>Bulletin clôturé</t>
        </is>
      </c>
      <c r="F57" s="41" t="inlineStr">
        <is>
          <t>1. Bulletin → Comprendre
2. Ouvrir CNPS retraite, ITS</t>
        </is>
      </c>
      <c r="G57" s="41" t="inlineStr">
        <is>
          <t>Pour chaque ligne : formule en clair, taux/base, article de loi CI ; chiffres identiques au bulletin</t>
        </is>
      </c>
      <c r="H57" s="41" t="n"/>
      <c r="I57" s="42" t="n"/>
      <c r="J57" s="41" t="n"/>
      <c r="K57" s="41" t="n"/>
      <c r="L57" s="41" t="n"/>
      <c r="M57" s="41" t="n"/>
      <c r="N57" s="41" t="n"/>
      <c r="O57" s="41" t="inlineStr">
        <is>
          <t>Recette 10/2026</t>
        </is>
      </c>
      <c r="P57" s="41" t="inlineStr">
        <is>
          <t>Production</t>
        </is>
      </c>
    </row>
    <row r="58" ht="58" customHeight="1">
      <c r="A58" s="51" t="inlineStr">
        <is>
          <t>PAY-056</t>
        </is>
      </c>
      <c r="B58" s="44" t="inlineStr">
        <is>
          <t>P2 — Haute</t>
        </is>
      </c>
      <c r="C58" s="43" t="inlineStr">
        <is>
          <t>Livre de paie annuel — export</t>
        </is>
      </c>
      <c r="D58" s="43" t="inlineStr">
        <is>
          <t>GET /payroll/livre-de-paie/:year/export.</t>
        </is>
      </c>
      <c r="E58" s="43" t="inlineStr">
        <is>
          <t>rh@sotra.ci (hr_manager, « Responsable Paie »)</t>
        </is>
      </c>
      <c r="F58" s="43" t="inlineStr">
        <is>
          <t>1. Paie → Livre de paie 2026 → Exporter</t>
        </is>
      </c>
      <c r="G58" s="43" t="inlineStr">
        <is>
          <t>Fichier avec tous les bulletins clôturés de l'année, totaux cohérents avec le reporting</t>
        </is>
      </c>
      <c r="H58" s="43" t="n"/>
      <c r="I58" s="42" t="n"/>
      <c r="J58" s="43" t="n"/>
      <c r="K58" s="43" t="n"/>
      <c r="L58" s="43" t="n"/>
      <c r="M58" s="43" t="n"/>
      <c r="N58" s="43" t="n"/>
      <c r="O58" s="43" t="inlineStr">
        <is>
          <t>Recette 10/2026</t>
        </is>
      </c>
      <c r="P58" s="43" t="inlineStr">
        <is>
          <t>Production</t>
        </is>
      </c>
    </row>
    <row r="59" ht="58" customHeight="1">
      <c r="A59" s="51" t="inlineStr">
        <is>
          <t>PAY-057</t>
        </is>
      </c>
      <c r="B59" s="44" t="inlineStr">
        <is>
          <t>P2 — Haute</t>
        </is>
      </c>
      <c r="C59" s="41" t="inlineStr">
        <is>
          <t>Journal d'accès aux bulletins (my-access-log)</t>
        </is>
      </c>
      <c r="D59" s="41" t="inlineStr">
        <is>
          <t>Le salarié voit qui a consulté ses bulletins.</t>
        </is>
      </c>
      <c r="E59" s="41" t="inlineStr">
        <is>
          <t>employe@sotra.ci (Kouassi Coulibaly) ; rh@ a consulté son bulletin</t>
        </is>
      </c>
      <c r="F59" s="41" t="inlineStr">
        <is>
          <t>1. Mon espace → Mes bulletins → Historique d'accès</t>
        </is>
      </c>
      <c r="G59" s="41" t="inlineStr">
        <is>
          <t>Consultations listées (qui/quand), uniquement pour ses propres bulletins</t>
        </is>
      </c>
      <c r="H59" s="41" t="n"/>
      <c r="I59" s="42" t="n"/>
      <c r="J59" s="41" t="n"/>
      <c r="K59" s="41" t="n"/>
      <c r="L59" s="41" t="n"/>
      <c r="M59" s="41" t="n"/>
      <c r="N59" s="41" t="n"/>
      <c r="O59" s="41" t="inlineStr">
        <is>
          <t>Recette 10/2026</t>
        </is>
      </c>
      <c r="P59" s="41" t="inlineStr">
        <is>
          <t>Production</t>
        </is>
      </c>
    </row>
    <row r="60" ht="58" customHeight="1">
      <c r="A60" s="51" t="inlineStr">
        <is>
          <t>PAY-058</t>
        </is>
      </c>
      <c r="B60" s="40" t="inlineStr">
        <is>
          <t>P1 — Critique</t>
        </is>
      </c>
      <c r="C60" s="43" t="inlineStr">
        <is>
          <t>Lien badgeuse → paie — retenues absences injustifiées / retards</t>
        </is>
      </c>
      <c r="D60" s="43" t="inlineStr">
        <is>
          <t>payroll_link activé : lignes 1010/1020 négatives au prorata.</t>
        </is>
      </c>
      <c r="E60" s="43" t="inlineStr">
        <is>
          <t>Module Pointage actif, payroll_link activé, 1 journée d'absence injustifiée et 2 h de retard sur 2026-10</t>
        </is>
      </c>
      <c r="F60" s="43" t="inlineStr">
        <is>
          <t>1. Générer la paie 2026-10 pour l'employé
2. Désactiver payroll_link et regénérer</t>
        </is>
      </c>
      <c r="G60" s="43" t="inlineStr">
        <is>
          <t>Lignes 1010 (absence) et 1020 (retard) négatives au prorata du temps non travaillé, aucune amende forfaitaire ; désactivé → paie identique à avant</t>
        </is>
      </c>
      <c r="H60" s="43" t="n"/>
      <c r="I60" s="42" t="n"/>
      <c r="J60" s="43" t="n"/>
      <c r="K60" s="43" t="n"/>
      <c r="L60" s="43" t="n"/>
      <c r="M60" s="43" t="n"/>
      <c r="N60" s="43" t="n"/>
      <c r="O60" s="43" t="inlineStr">
        <is>
          <t>Recette 10/2026</t>
        </is>
      </c>
      <c r="P60" s="43" t="inlineStr">
        <is>
          <t>Production</t>
        </is>
      </c>
    </row>
    <row r="61" ht="58" customHeight="1">
      <c r="A61" s="51" t="inlineStr">
        <is>
          <t>PAY-059</t>
        </is>
      </c>
      <c r="B61" s="44" t="inlineStr">
        <is>
          <t>P2 — Haute</t>
        </is>
      </c>
      <c r="C61" s="41" t="inlineStr">
        <is>
          <t>Congés payés — allocation de congé sur le bulletin</t>
        </is>
      </c>
      <c r="D61" s="41" t="inlineStr">
        <is>
          <t>Allocation = salaire moyen 12 mois ÷ 30 × jours calendaires (règle la plus favorable).</t>
        </is>
      </c>
      <c r="E61" s="41" t="inlineStr">
        <is>
          <t>Salarié en congé payé 12 jours ouvrables sur le mois</t>
        </is>
      </c>
      <c r="F61" s="41" t="inlineStr">
        <is>
          <t>1. Générer la paie
2. Contrôler la ligne d'allocation de congé</t>
        </is>
      </c>
      <c r="G61" s="41" t="inlineStr">
        <is>
          <t>Allocation calculée hors remboursements de frais ; montant ≥ salaire maintenu ; détail visible dans « Comprendre »</t>
        </is>
      </c>
      <c r="H61" s="41" t="n"/>
      <c r="I61" s="42" t="n"/>
      <c r="J61" s="41" t="n"/>
      <c r="K61" s="41" t="n"/>
      <c r="L61" s="41" t="n"/>
      <c r="M61" s="41" t="n"/>
      <c r="N61" s="41" t="n"/>
      <c r="O61" s="41" t="inlineStr">
        <is>
          <t>Recette 10/2026</t>
        </is>
      </c>
      <c r="P61" s="41" t="inlineStr">
        <is>
          <t>Production</t>
        </is>
      </c>
    </row>
    <row r="62" ht="78" customHeight="1">
      <c r="A62" s="51" t="inlineStr">
        <is>
          <t>PAY-060</t>
        </is>
      </c>
      <c r="B62" s="40" t="inlineStr">
        <is>
          <t>P1 — Critique</t>
        </is>
      </c>
      <c r="C62" s="43" t="inlineStr">
        <is>
          <t>Paie multi-filiales — circuit RAF de site → validation centrale</t>
        </is>
      </c>
      <c r="D62" s="43" t="inlineStr">
        <is>
          <t>payroll-workflow : envoi aux sites, soumission RAF, validation centrale, clôture.</t>
        </is>
      </c>
      <c r="E62" s="43" t="inlineStr">
        <is>
          <t>SOTRA avec filiales ; compte raf_site rattaché à une filiale</t>
        </is>
      </c>
      <c r="F62" s="43" t="inlineStr">
        <is>
          <t>1. RH centrale : Paie multi-filiales → créer période → Envoyer aux sites
2. RAF : Paie de ma filiale → saisir/soumettre
3. Centrale : valider puis clôturer
4. Consulter la timeline</t>
        </is>
      </c>
      <c r="G62" s="43" t="inlineStr">
        <is>
          <t>Chaque étape tracée dans la timeline ; RAF ne voit que sa filiale ; clôture impossible tant qu'un site n'a pas soumis</t>
        </is>
      </c>
      <c r="H62" s="43" t="n"/>
      <c r="I62" s="42" t="n"/>
      <c r="J62" s="43" t="n"/>
      <c r="K62" s="43" t="n"/>
      <c r="L62" s="43" t="n"/>
      <c r="M62" s="43" t="n"/>
      <c r="N62" s="43" t="n"/>
      <c r="O62" s="43" t="inlineStr">
        <is>
          <t>Recette 10/2026</t>
        </is>
      </c>
      <c r="P62" s="43" t="inlineStr">
        <is>
          <t>Production</t>
        </is>
      </c>
    </row>
    <row r="63" ht="58" customHeight="1">
      <c r="A63" s="51" t="inlineStr">
        <is>
          <t>PAY-061</t>
        </is>
      </c>
      <c r="B63" s="44" t="inlineStr">
        <is>
          <t>P2 — Haute</t>
        </is>
      </c>
      <c r="C63" s="41" t="inlineStr">
        <is>
          <t>Rubriques de paie paramétrées appliquées au calcul</t>
        </is>
      </c>
      <c r="D63" s="41" t="inlineStr">
        <is>
          <t>Rubriques tenant (Paramètres → Rubriques de paie) prises en compte.</t>
        </is>
      </c>
      <c r="E63" s="41" t="inlineStr">
        <is>
          <t>Rubrique « Prime de salissure » 10 000 imposable créée</t>
        </is>
      </c>
      <c r="F63" s="41" t="inlineStr">
        <is>
          <t>1. Ajouter l'élément variable à un salarié
2. Générer la paie</t>
        </is>
      </c>
      <c r="G63" s="41" t="inlineStr">
        <is>
          <t>Ligne présente avec le bon code, incluse ou non dans les assiettes selon son paramétrage</t>
        </is>
      </c>
      <c r="H63" s="41" t="n"/>
      <c r="I63" s="42" t="n"/>
      <c r="J63" s="41" t="n"/>
      <c r="K63" s="41" t="n"/>
      <c r="L63" s="41" t="n"/>
      <c r="M63" s="41" t="n"/>
      <c r="N63" s="41" t="n"/>
      <c r="O63" s="41" t="inlineStr">
        <is>
          <t>Recette 10/2026</t>
        </is>
      </c>
      <c r="P63" s="41" t="inlineStr">
        <is>
          <t>Production</t>
        </is>
      </c>
    </row>
    <row r="64" ht="58" customHeight="1">
      <c r="A64" s="51" t="inlineStr">
        <is>
          <t>PAY-062</t>
        </is>
      </c>
      <c r="B64" s="44" t="inlineStr">
        <is>
          <t>P2 — Haute</t>
        </is>
      </c>
      <c r="C64" s="43" t="inlineStr">
        <is>
          <t>Erreurs de paie — messages personnalisés</t>
        </is>
      </c>
      <c r="D64" s="43" t="inlineStr">
        <is>
          <t>Aucune erreur technique brute à l'écran.</t>
        </is>
      </c>
      <c r="E64" s="43" t="inlineStr">
        <is>
          <t>Période déjà clôturée, salarié sans salaire de base</t>
        </is>
      </c>
      <c r="F64" s="43" t="inlineStr">
        <is>
          <t>1. Générer une période déjà clôturée
2. Générer avec un salarié sans salaire</t>
        </is>
      </c>
      <c r="G64" s="43" t="inlineStr">
        <is>
          <t>Messages métier en français (ex. « Cette période est clôturée ») ; aucun code SQL/stack</t>
        </is>
      </c>
      <c r="H64" s="43" t="n"/>
      <c r="I64" s="42" t="n"/>
      <c r="J64" s="43" t="n"/>
      <c r="K64" s="43" t="n"/>
      <c r="L64" s="43" t="n"/>
      <c r="M64" s="43" t="n"/>
      <c r="N64" s="43" t="n"/>
      <c r="O64" s="43" t="inlineStr">
        <is>
          <t>Recette 10/2026</t>
        </is>
      </c>
      <c r="P64" s="43" t="inlineStr">
        <is>
          <t>Production</t>
        </is>
      </c>
    </row>
  </sheetData>
  <mergeCells count="1">
    <mergeCell ref="A1:P1"/>
  </mergeCells>
  <conditionalFormatting sqref="A3:P64">
    <cfRule type="expression" priority="1" dxfId="0">
      <formula>$I3="✅ Passé"</formula>
    </cfRule>
    <cfRule type="expression" priority="2" dxfId="1">
      <formula>$I3="❌ Échoué"</formula>
    </cfRule>
    <cfRule type="expression" priority="3" dxfId="2">
      <formula>$I3="⚠️ Bloqué"</formula>
    </cfRule>
    <cfRule type="expression" priority="4" dxfId="3">
      <formula>$I3="▶️ En cours"</formula>
    </cfRule>
    <cfRule type="expression" priority="5" dxfId="4">
      <formula>$I3="⬜ Non exécuté"</formula>
    </cfRule>
  </conditionalFormatting>
  <dataValidations count="87">
    <dataValidation sqref="I3" showDropDown="0" showInputMessage="0" showErrorMessage="0" allowBlank="1" type="list">
      <formula1>"✅ Passé,❌ Échoué,⚠️ Bloqué,▶️ En cours,⬜ Non exécuté"</formula1>
    </dataValidation>
    <dataValidation sqref="B3" showDropDown="0" showInputMessage="0" showErrorMessage="0" allowBlank="1" type="list">
      <formula1>"P1 — Critique,P2 — Haute,P3 — Moyenne,P4 — Basse"</formula1>
    </dataValidation>
    <dataValidation sqref="P3" showDropDown="0" showInputMessage="0" showErrorMessage="0" allowBlank="1" type="list">
      <formula1>"Production,Preprod,Local"</formula1>
    </dataValidation>
    <dataValidation sqref="I4" showDropDown="0" showInputMessage="0" showErrorMessage="0" allowBlank="1" type="list">
      <formula1>"✅ Passé,❌ Échoué,⚠️ Bloqué,▶️ En cours,⬜ Non exécuté"</formula1>
    </dataValidation>
    <dataValidation sqref="B4" showDropDown="0" showInputMessage="0" showErrorMessage="0" allowBlank="1" type="list">
      <formula1>"P1 — Critique,P2 — Haute,P3 — Moyenne,P4 — Basse"</formula1>
    </dataValidation>
    <dataValidation sqref="P4" showDropDown="0" showInputMessage="0" showErrorMessage="0" allowBlank="1" type="list">
      <formula1>"Production,Preprod,Local"</formula1>
    </dataValidation>
    <dataValidation sqref="I5" showDropDown="0" showInputMessage="0" showErrorMessage="0" allowBlank="1" type="list">
      <formula1>"✅ Passé,❌ Échoué,⚠️ Bloqué,▶️ En cours,⬜ Non exécuté"</formula1>
    </dataValidation>
    <dataValidation sqref="B5" showDropDown="0" showInputMessage="0" showErrorMessage="0" allowBlank="1" type="list">
      <formula1>"P1 — Critique,P2 — Haute,P3 — Moyenne,P4 — Basse"</formula1>
    </dataValidation>
    <dataValidation sqref="P5" showDropDown="0" showInputMessage="0" showErrorMessage="0" allowBlank="1" type="list">
      <formula1>"Production,Preprod,Local"</formula1>
    </dataValidation>
    <dataValidation sqref="I6" showDropDown="0" showInputMessage="0" showErrorMessage="0" allowBlank="1" type="list">
      <formula1>"✅ Passé,❌ Échoué,⚠️ Bloqué,▶️ En cours,⬜ Non exécuté"</formula1>
    </dataValidation>
    <dataValidation sqref="B6" showDropDown="0" showInputMessage="0" showErrorMessage="0" allowBlank="1" type="list">
      <formula1>"P1 — Critique,P2 — Haute,P3 — Moyenne,P4 — Basse"</formula1>
    </dataValidation>
    <dataValidation sqref="P6" showDropDown="0" showInputMessage="0" showErrorMessage="0" allowBlank="1" type="list">
      <formula1>"Production,Preprod,Local"</formula1>
    </dataValidation>
    <dataValidation sqref="I7" showDropDown="0" showInputMessage="0" showErrorMessage="0" allowBlank="1" type="list">
      <formula1>"✅ Passé,❌ Échoué,⚠️ Bloqué,▶️ En cours,⬜ Non exécuté"</formula1>
    </dataValidation>
    <dataValidation sqref="B7" showDropDown="0" showInputMessage="0" showErrorMessage="0" allowBlank="1" type="list">
      <formula1>"P1 — Critique,P2 — Haute,P3 — Moyenne,P4 — Basse"</formula1>
    </dataValidation>
    <dataValidation sqref="P7" showDropDown="0" showInputMessage="0" showErrorMessage="0" allowBlank="1" type="list">
      <formula1>"Production,Preprod,Local"</formula1>
    </dataValidation>
    <dataValidation sqref="I8" showDropDown="0" showInputMessage="0" showErrorMessage="0" allowBlank="1" type="list">
      <formula1>"✅ Passé,❌ Échoué,⚠️ Bloqué,▶️ En cours,⬜ Non exécuté"</formula1>
    </dataValidation>
    <dataValidation sqref="B8" showDropDown="0" showInputMessage="0" showErrorMessage="0" allowBlank="1" type="list">
      <formula1>"P1 — Critique,P2 — Haute,P3 — Moyenne,P4 — Basse"</formula1>
    </dataValidation>
    <dataValidation sqref="P8" showDropDown="0" showInputMessage="0" showErrorMessage="0" allowBlank="1" type="list">
      <formula1>"Production,Preprod,Local"</formula1>
    </dataValidation>
    <dataValidation sqref="I9" showDropDown="0" showInputMessage="0" showErrorMessage="0" allowBlank="1" type="list">
      <formula1>"✅ Passé,❌ Échoué,⚠️ Bloqué,▶️ En cours,⬜ Non exécuté"</formula1>
    </dataValidation>
    <dataValidation sqref="B9" showDropDown="0" showInputMessage="0" showErrorMessage="0" allowBlank="1" type="list">
      <formula1>"P1 — Critique,P2 — Haute,P3 — Moyenne,P4 — Basse"</formula1>
    </dataValidation>
    <dataValidation sqref="P9" showDropDown="0" showInputMessage="0" showErrorMessage="0" allowBlank="1" type="list">
      <formula1>"Production,Preprod,Local"</formula1>
    </dataValidation>
    <dataValidation sqref="I10" showDropDown="0" showInputMessage="0" showErrorMessage="0" allowBlank="1" type="list">
      <formula1>"✅ Passé,❌ Échoué,⚠️ Bloqué,▶️ En cours,⬜ Non exécuté"</formula1>
    </dataValidation>
    <dataValidation sqref="B10" showDropDown="0" showInputMessage="0" showErrorMessage="0" allowBlank="1" type="list">
      <formula1>"P1 — Critique,P2 — Haute,P3 — Moyenne,P4 — Basse"</formula1>
    </dataValidation>
    <dataValidation sqref="P10" showDropDown="0" showInputMessage="0" showErrorMessage="0" allowBlank="1" type="list">
      <formula1>"Production,Preprod,Local"</formula1>
    </dataValidation>
    <dataValidation sqref="I11" showDropDown="0" showInputMessage="0" showErrorMessage="0" allowBlank="1" type="list">
      <formula1>"✅ Passé,❌ Échoué,⚠️ Bloqué,▶️ En cours,⬜ Non exécuté"</formula1>
    </dataValidation>
    <dataValidation sqref="B11" showDropDown="0" showInputMessage="0" showErrorMessage="0" allowBlank="1" type="list">
      <formula1>"P1 — Critique,P2 — Haute,P3 — Moyenne,P4 — Basse"</formula1>
    </dataValidation>
    <dataValidation sqref="P11" showDropDown="0" showInputMessage="0" showErrorMessage="0" allowBlank="1" type="list">
      <formula1>"Production,Preprod,Local"</formula1>
    </dataValidation>
    <dataValidation sqref="I12" showDropDown="0" showInputMessage="0" showErrorMessage="0" allowBlank="1" type="list">
      <formula1>"✅ Passé,❌ Échoué,⚠️ Bloqué,▶️ En cours,⬜ Non exécuté"</formula1>
    </dataValidation>
    <dataValidation sqref="B12" showDropDown="0" showInputMessage="0" showErrorMessage="0" allowBlank="1" type="list">
      <formula1>"P1 — Critique,P2 — Haute,P3 — Moyenne,P4 — Basse"</formula1>
    </dataValidation>
    <dataValidation sqref="P12" showDropDown="0" showInputMessage="0" showErrorMessage="0" allowBlank="1" type="list">
      <formula1>"Production,Preprod,Local"</formula1>
    </dataValidation>
    <dataValidation sqref="I13" showDropDown="0" showInputMessage="0" showErrorMessage="0" allowBlank="1" type="list">
      <formula1>"✅ Passé,❌ Échoué,⚠️ Bloqué,▶️ En cours,⬜ Non exécuté"</formula1>
    </dataValidation>
    <dataValidation sqref="B13" showDropDown="0" showInputMessage="0" showErrorMessage="0" allowBlank="1" type="list">
      <formula1>"P1 — Critique,P2 — Haute,P3 — Moyenne,P4 — Basse"</formula1>
    </dataValidation>
    <dataValidation sqref="P13" showDropDown="0" showInputMessage="0" showErrorMessage="0" allowBlank="1" type="list">
      <formula1>"Production,Preprod,Local"</formula1>
    </dataValidation>
    <dataValidation sqref="I14" showDropDown="0" showInputMessage="0" showErrorMessage="0" allowBlank="1" type="list">
      <formula1>"✅ Passé,❌ Échoué,⚠️ Bloqué,▶️ En cours,⬜ Non exécuté"</formula1>
    </dataValidation>
    <dataValidation sqref="B14" showDropDown="0" showInputMessage="0" showErrorMessage="0" allowBlank="1" type="list">
      <formula1>"P1 — Critique,P2 — Haute,P3 — Moyenne,P4 — Basse"</formula1>
    </dataValidation>
    <dataValidation sqref="P14" showDropDown="0" showInputMessage="0" showErrorMessage="0" allowBlank="1" type="list">
      <formula1>"Production,Preprod,Local"</formula1>
    </dataValidation>
    <dataValidation sqref="I15" showDropDown="0" showInputMessage="0" showErrorMessage="0" allowBlank="1" type="list">
      <formula1>"✅ Passé,❌ Échoué,⚠️ Bloqué,▶️ En cours,⬜ Non exécuté"</formula1>
    </dataValidation>
    <dataValidation sqref="B15" showDropDown="0" showInputMessage="0" showErrorMessage="0" allowBlank="1" type="list">
      <formula1>"P1 — Critique,P2 — Haute,P3 — Moyenne,P4 — Basse"</formula1>
    </dataValidation>
    <dataValidation sqref="P15" showDropDown="0" showInputMessage="0" showErrorMessage="0" allowBlank="1" type="list">
      <formula1>"Production,Preprod,Local"</formula1>
    </dataValidation>
    <dataValidation sqref="I16" showDropDown="0" showInputMessage="0" showErrorMessage="0" allowBlank="1" type="list">
      <formula1>"✅ Passé,❌ Échoué,⚠️ Bloqué,▶️ En cours,⬜ Non exécuté"</formula1>
    </dataValidation>
    <dataValidation sqref="B16" showDropDown="0" showInputMessage="0" showErrorMessage="0" allowBlank="1" type="list">
      <formula1>"P1 — Critique,P2 — Haute,P3 — Moyenne,P4 — Basse"</formula1>
    </dataValidation>
    <dataValidation sqref="P16" showDropDown="0" showInputMessage="0" showErrorMessage="0" allowBlank="1" type="list">
      <formula1>"Production,Preprod,Local"</formula1>
    </dataValidation>
    <dataValidation sqref="I17" showDropDown="0" showInputMessage="0" showErrorMessage="0" allowBlank="1" type="list">
      <formula1>"✅ Passé,❌ Échoué,⚠️ Bloqué,▶️ En cours,⬜ Non exécuté"</formula1>
    </dataValidation>
    <dataValidation sqref="B17" showDropDown="0" showInputMessage="0" showErrorMessage="0" allowBlank="1" type="list">
      <formula1>"P1 — Critique,P2 — Haute,P3 — Moyenne,P4 — Basse"</formula1>
    </dataValidation>
    <dataValidation sqref="P17" showDropDown="0" showInputMessage="0" showErrorMessage="0" allowBlank="1" type="list">
      <formula1>"Production,Preprod,Local"</formula1>
    </dataValidation>
    <dataValidation sqref="I18" showDropDown="0" showInputMessage="0" showErrorMessage="0" allowBlank="1" type="list">
      <formula1>"✅ Passé,❌ Échoué,⚠️ Bloqué,▶️ En cours,⬜ Non exécuté"</formula1>
    </dataValidation>
    <dataValidation sqref="B18" showDropDown="0" showInputMessage="0" showErrorMessage="0" allowBlank="1" type="list">
      <formula1>"P1 — Critique,P2 — Haute,P3 — Moyenne,P4 — Basse"</formula1>
    </dataValidation>
    <dataValidation sqref="P18" showDropDown="0" showInputMessage="0" showErrorMessage="0" allowBlank="1" type="list">
      <formula1>"Production,Preprod,Local"</formula1>
    </dataValidation>
    <dataValidation sqref="I19" showDropDown="0" showInputMessage="0" showErrorMessage="0" allowBlank="1" type="list">
      <formula1>"✅ Passé,❌ Échoué,⚠️ Bloqué,▶️ En cours,⬜ Non exécuté"</formula1>
    </dataValidation>
    <dataValidation sqref="B19" showDropDown="0" showInputMessage="0" showErrorMessage="0" allowBlank="1" type="list">
      <formula1>"P1 — Critique,P2 — Haute,P3 — Moyenne,P4 — Basse"</formula1>
    </dataValidation>
    <dataValidation sqref="P19" showDropDown="0" showInputMessage="0" showErrorMessage="0" allowBlank="1" type="list">
      <formula1>"Production,Preprod,Local"</formula1>
    </dataValidation>
    <dataValidation sqref="I20" showDropDown="0" showInputMessage="0" showErrorMessage="0" allowBlank="1" type="list">
      <formula1>"✅ Passé,❌ Échoué,⚠️ Bloqué,▶️ En cours,⬜ Non exécuté"</formula1>
    </dataValidation>
    <dataValidation sqref="B20" showDropDown="0" showInputMessage="0" showErrorMessage="0" allowBlank="1" type="list">
      <formula1>"P1 — Critique,P2 — Haute,P3 — Moyenne,P4 — Basse"</formula1>
    </dataValidation>
    <dataValidation sqref="P20" showDropDown="0" showInputMessage="0" showErrorMessage="0" allowBlank="1" type="list">
      <formula1>"Production,Preprod,Local"</formula1>
    </dataValidation>
    <dataValidation sqref="I21" showDropDown="0" showInputMessage="0" showErrorMessage="0" allowBlank="1" type="list">
      <formula1>"✅ Passé,❌ Échoué,⚠️ Bloqué,▶️ En cours,⬜ Non exécuté"</formula1>
    </dataValidation>
    <dataValidation sqref="B21" showDropDown="0" showInputMessage="0" showErrorMessage="0" allowBlank="1" type="list">
      <formula1>"P1 — Critique,P2 — Haute,P3 — Moyenne,P4 — Basse"</formula1>
    </dataValidation>
    <dataValidation sqref="P21" showDropDown="0" showInputMessage="0" showErrorMessage="0" allowBlank="1" type="list">
      <formula1>"Production,Preprod,Local"</formula1>
    </dataValidation>
    <dataValidation sqref="I22" showDropDown="0" showInputMessage="0" showErrorMessage="0" allowBlank="1" type="list">
      <formula1>"✅ Passé,❌ Échoué,⚠️ Bloqué,▶️ En cours,⬜ Non exécuté"</formula1>
    </dataValidation>
    <dataValidation sqref="B22" showDropDown="0" showInputMessage="0" showErrorMessage="0" allowBlank="1" type="list">
      <formula1>"P1 — Critique,P2 — Haute,P3 — Moyenne,P4 — Basse"</formula1>
    </dataValidation>
    <dataValidation sqref="P22" showDropDown="0" showInputMessage="0" showErrorMessage="0" allowBlank="1" type="list">
      <formula1>"Production,Preprod,Local"</formula1>
    </dataValidation>
    <dataValidation sqref="I23" showDropDown="0" showInputMessage="0" showErrorMessage="0" allowBlank="1" type="list">
      <formula1>"✅ Passé,❌ Échoué,⚠️ Bloqué,▶️ En cours,⬜ Non exécuté"</formula1>
    </dataValidation>
    <dataValidation sqref="B23" showDropDown="0" showInputMessage="0" showErrorMessage="0" allowBlank="1" type="list">
      <formula1>"P1 — Critique,P2 — Haute,P3 — Moyenne,P4 — Basse"</formula1>
    </dataValidation>
    <dataValidation sqref="P23" showDropDown="0" showInputMessage="0" showErrorMessage="0" allowBlank="1" type="list">
      <formula1>"Production,Preprod,Local"</formula1>
    </dataValidation>
    <dataValidation sqref="I24" showDropDown="0" showInputMessage="0" showErrorMessage="0" allowBlank="1" type="list">
      <formula1>"✅ Passé,❌ Échoué,⚠️ Bloqué,▶️ En cours,⬜ Non exécuté"</formula1>
    </dataValidation>
    <dataValidation sqref="B24" showDropDown="0" showInputMessage="0" showErrorMessage="0" allowBlank="1" type="list">
      <formula1>"P1 — Critique,P2 — Haute,P3 — Moyenne,P4 — Basse"</formula1>
    </dataValidation>
    <dataValidation sqref="P24" showDropDown="0" showInputMessage="0" showErrorMessage="0" allowBlank="1" type="list">
      <formula1>"Production,Preprod,Local"</formula1>
    </dataValidation>
    <dataValidation sqref="I25" showDropDown="0" showInputMessage="0" showErrorMessage="0" allowBlank="1" type="list">
      <formula1>"✅ Passé,❌ Échoué,⚠️ Bloqué,▶️ En cours,⬜ Non exécuté"</formula1>
    </dataValidation>
    <dataValidation sqref="B25" showDropDown="0" showInputMessage="0" showErrorMessage="0" allowBlank="1" type="list">
      <formula1>"P1 — Critique,P2 — Haute,P3 — Moyenne,P4 — Basse"</formula1>
    </dataValidation>
    <dataValidation sqref="P25" showDropDown="0" showInputMessage="0" showErrorMessage="0" allowBlank="1" type="list">
      <formula1>"Production,Preprod,Local"</formula1>
    </dataValidation>
    <dataValidation sqref="I26" showDropDown="0" showInputMessage="0" showErrorMessage="0" allowBlank="1" type="list">
      <formula1>"✅ Passé,❌ Échoué,⚠️ Bloqué,▶️ En cours,⬜ Non exécuté"</formula1>
    </dataValidation>
    <dataValidation sqref="B26" showDropDown="0" showInputMessage="0" showErrorMessage="0" allowBlank="1" type="list">
      <formula1>"P1 — Critique,P2 — Haute,P3 — Moyenne,P4 — Basse"</formula1>
    </dataValidation>
    <dataValidation sqref="P26" showDropDown="0" showInputMessage="0" showErrorMessage="0" allowBlank="1" type="list">
      <formula1>"Production,Preprod,Local"</formula1>
    </dataValidation>
    <dataValidation sqref="I27" showDropDown="0" showInputMessage="0" showErrorMessage="0" allowBlank="1" type="list">
      <formula1>"✅ Passé,❌ Échoué,⚠️ Bloqué,▶️ En cours,⬜ Non exécuté"</formula1>
    </dataValidation>
    <dataValidation sqref="B27" showDropDown="0" showInputMessage="0" showErrorMessage="0" allowBlank="1" type="list">
      <formula1>"P1 — Critique,P2 — Haute,P3 — Moyenne,P4 — Basse"</formula1>
    </dataValidation>
    <dataValidation sqref="P27" showDropDown="0" showInputMessage="0" showErrorMessage="0" allowBlank="1" type="list">
      <formula1>"Production,Preprod,Local"</formula1>
    </dataValidation>
    <dataValidation sqref="I28" showDropDown="0" showInputMessage="0" showErrorMessage="0" allowBlank="1" type="list">
      <formula1>"✅ Passé,❌ Échoué,⚠️ Bloqué,▶️ En cours,⬜ Non exécuté"</formula1>
    </dataValidation>
    <dataValidation sqref="B28" showDropDown="0" showInputMessage="0" showErrorMessage="0" allowBlank="1" type="list">
      <formula1>"P1 — Critique,P2 — Haute,P3 — Moyenne,P4 — Basse"</formula1>
    </dataValidation>
    <dataValidation sqref="P28" showDropDown="0" showInputMessage="0" showErrorMessage="0" allowBlank="1" type="list">
      <formula1>"Production,Preprod,Local"</formula1>
    </dataValidation>
    <dataValidation sqref="I29" showDropDown="0" showInputMessage="0" showErrorMessage="0" allowBlank="1" type="list">
      <formula1>"✅ Passé,❌ Échoué,⚠️ Bloqué,▶️ En cours,⬜ Non exécuté"</formula1>
    </dataValidation>
    <dataValidation sqref="B29" showDropDown="0" showInputMessage="0" showErrorMessage="0" allowBlank="1" type="list">
      <formula1>"P1 — Critique,P2 — Haute,P3 — Moyenne,P4 — Basse"</formula1>
    </dataValidation>
    <dataValidation sqref="P29" showDropDown="0" showInputMessage="0" showErrorMessage="0" allowBlank="1" type="list">
      <formula1>"Production,Preprod,Local"</formula1>
    </dataValidation>
    <dataValidation sqref="I30" showDropDown="0" showInputMessage="0" showErrorMessage="0" allowBlank="1" type="list">
      <formula1>"✅ Passé,❌ Échoué,⚠️ Bloqué,▶️ En cours,⬜ Non exécuté"</formula1>
    </dataValidation>
    <dataValidation sqref="B30" showDropDown="0" showInputMessage="0" showErrorMessage="0" allowBlank="1" type="list">
      <formula1>"P1 — Critique,P2 — Haute,P3 — Moyenne,P4 — Basse"</formula1>
    </dataValidation>
    <dataValidation sqref="P30" showDropDown="0" showInputMessage="0" showErrorMessage="0" allowBlank="1" type="list">
      <formula1>"Production,Preprod,Local"</formula1>
    </dataValidation>
    <dataValidation sqref="I31:I64" showDropDown="0" showInputMessage="0" showErrorMessage="0" allowBlank="1" type="list">
      <formula1>"✅ Passé,❌ Échoué,⚠️ Bloqué,▶️ En cours,⬜ Non exécuté"</formula1>
    </dataValidation>
    <dataValidation sqref="B31:B64" showDropDown="0" showInputMessage="0" showErrorMessage="0" allowBlank="1" type="list">
      <formula1>"P1 — Critique,P2 — Haute,P3 — Moyenne,P4 — Basse"</formula1>
    </dataValidation>
    <dataValidation sqref="P31:P64" showDropDown="0" showInputMessage="0" showErrorMessage="0" allowBlank="1" type="list">
      <formula1>"Production,Preprod,Local"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38" customWidth="1" min="3" max="3"/>
    <col width="32" customWidth="1" min="4" max="4"/>
    <col width="30" customWidth="1" min="5" max="5"/>
    <col width="40" customWidth="1" min="6" max="6"/>
    <col width="38" customWidth="1" min="7" max="7"/>
    <col width="38" customWidth="1" min="8" max="8"/>
    <col width="18" customWidth="1" min="9" max="9"/>
    <col width="16" customWidth="1" min="10" max="10"/>
    <col width="13" customWidth="1" min="11" max="11"/>
    <col width="12" customWidth="1" min="12" max="12"/>
    <col width="24" customWidth="1" min="13" max="13"/>
    <col width="36" customWidth="1" min="14" max="14"/>
    <col width="10" customWidth="1" min="15" max="15"/>
    <col width="12" customWidth="1" min="16" max="16"/>
  </cols>
  <sheetData>
    <row r="1" ht="26" customHeight="1">
      <c r="A1" s="52" t="inlineStr">
        <is>
          <t xml:space="preserve">  GESTION DES ABSENCES  ·  22 scénarios</t>
        </is>
      </c>
    </row>
    <row r="2" ht="22" customHeight="1">
      <c r="A2" s="39" t="inlineStr">
        <is>
          <t>ID Test</t>
        </is>
      </c>
      <c r="B2" s="39" t="inlineStr">
        <is>
          <t>Priorité</t>
        </is>
      </c>
      <c r="C2" s="39" t="inlineStr">
        <is>
          <t>Titre du scénario</t>
        </is>
      </c>
      <c r="D2" s="39" t="inlineStr">
        <is>
          <t>Description / Contexte</t>
        </is>
      </c>
      <c r="E2" s="39" t="inlineStr">
        <is>
          <t>Prérequis / Données</t>
        </is>
      </c>
      <c r="F2" s="39" t="inlineStr">
        <is>
          <t>Étapes détaillées</t>
        </is>
      </c>
      <c r="G2" s="39" t="inlineStr">
        <is>
          <t>Résultat attendu</t>
        </is>
      </c>
      <c r="H2" s="39" t="inlineStr">
        <is>
          <t>Résultat obtenu</t>
        </is>
      </c>
      <c r="I2" s="39" t="inlineStr">
        <is>
          <t>Statut</t>
        </is>
      </c>
      <c r="J2" s="39" t="inlineStr">
        <is>
          <t>Testeur</t>
        </is>
      </c>
      <c r="K2" s="39" t="inlineStr">
        <is>
          <t>Date test</t>
        </is>
      </c>
      <c r="L2" s="39" t="inlineStr">
        <is>
          <t>Durée (min)</t>
        </is>
      </c>
      <c r="M2" s="39" t="inlineStr">
        <is>
          <t>Ticket / Requalification</t>
        </is>
      </c>
      <c r="N2" s="39" t="inlineStr">
        <is>
          <t>Commentaire / Amélioration</t>
        </is>
      </c>
      <c r="O2" s="39" t="inlineStr">
        <is>
          <t>Sprint</t>
        </is>
      </c>
      <c r="P2" s="39" t="inlineStr">
        <is>
          <t>Env.</t>
        </is>
      </c>
    </row>
    <row r="3" ht="58" customHeight="1">
      <c r="A3" s="53" t="inlineStr">
        <is>
          <t>ABS-001</t>
        </is>
      </c>
      <c r="B3" s="40" t="inlineStr">
        <is>
          <t>P1 — Critique</t>
        </is>
      </c>
      <c r="C3" s="41" t="inlineStr">
        <is>
          <t>Soldes congés affichés — /mon-espace/absences</t>
        </is>
      </c>
      <c r="D3" s="41" t="inlineStr">
        <is>
          <t>2.5 jours ouvrables/mois CI</t>
        </is>
      </c>
      <c r="E3" s="41" t="inlineStr">
        <is>
          <t>employe@sotra.ci connecté</t>
        </is>
      </c>
      <c r="F3" s="41" t="inlineStr">
        <is>
          <t>1. /mon-espace/absences
2. Observer les barres de soldes</t>
        </is>
      </c>
      <c r="G3" s="41" t="inlineStr">
        <is>
          <t>CP affiché avec acquired, taken, remaining. Barres de progression colorées</t>
        </is>
      </c>
      <c r="H3" s="41" t="inlineStr">
        <is>
          <t>Code : GET /absences/balances (employee, filtre employeeId du token) renvoie acquired/taken/pending/remaining + libelle/couleur du type. UI MesAbsences affiche cartes par type avec pastille couleur + restant/acquis. (Mineur : pastille couleur, pas de barre de progression remplie ; taken present en API.)</t>
        </is>
      </c>
      <c r="I3" s="42" t="inlineStr">
        <is>
          <t>✅ Passé</t>
        </is>
      </c>
      <c r="J3" s="41" t="inlineStr">
        <is>
          <t>Agents IA (code)</t>
        </is>
      </c>
      <c r="K3" s="41" t="inlineStr">
        <is>
          <t>24/06/2026</t>
        </is>
      </c>
      <c r="L3" s="41" t="inlineStr"/>
      <c r="M3" s="41" t="inlineStr"/>
      <c r="N3" s="41" t="inlineStr"/>
      <c r="O3" s="41" t="inlineStr">
        <is>
          <t>Sprint 1</t>
        </is>
      </c>
      <c r="P3" s="41" t="inlineStr">
        <is>
          <t>Production</t>
        </is>
      </c>
    </row>
    <row r="4" ht="58" customHeight="1">
      <c r="A4" s="53" t="inlineStr">
        <is>
          <t>ABS-002</t>
        </is>
      </c>
      <c r="B4" s="40" t="inlineStr">
        <is>
          <t>P1 — Critique</t>
        </is>
      </c>
      <c r="C4" s="43" t="inlineStr">
        <is>
          <t>Nouvelle demande absence — formulaire complet</t>
        </is>
      </c>
      <c r="D4" s="43" t="inlineStr"/>
      <c r="E4" s="43" t="inlineStr"/>
      <c r="F4" s="43" t="inlineStr">
        <is>
          <t>1. Bouton '+ Demander une absence'
2. Type: CP, dates, motif
3. Soumettre</t>
        </is>
      </c>
      <c r="G4" s="43" t="inlineStr">
        <is>
          <t>Demande créée statut 'pending', notification envoyée au manager</t>
        </is>
      </c>
      <c r="H4" s="41" t="inlineStr">
        <is>
          <t>CORRIGE : POST /absences cree statut 'pending' (default), Zod strict, ANTI-IDOR (employeeId force depuis le token pour un employee). Le bouton '+ Demander une absence' est cable. AJOUT correctif : notification au MANAGER de l'employe a la creation (table notifications, resolu via manager_id-&gt;user_id) — etait absente.</t>
        </is>
      </c>
      <c r="I4" s="42" t="inlineStr">
        <is>
          <t>✅ Passé</t>
        </is>
      </c>
      <c r="J4" s="41" t="inlineStr">
        <is>
          <t>Agents IA + correctif</t>
        </is>
      </c>
      <c r="K4" s="41" t="inlineStr">
        <is>
          <t>24/06/2026</t>
        </is>
      </c>
      <c r="L4" s="43" t="inlineStr"/>
      <c r="M4" s="43" t="inlineStr"/>
      <c r="N4" s="43" t="inlineStr"/>
      <c r="O4" s="43" t="inlineStr">
        <is>
          <t>Sprint 1</t>
        </is>
      </c>
      <c r="P4" s="43" t="inlineStr">
        <is>
          <t>Production</t>
        </is>
      </c>
    </row>
    <row r="5" ht="58" customHeight="1">
      <c r="A5" s="53" t="inlineStr">
        <is>
          <t>ABS-003</t>
        </is>
      </c>
      <c r="B5" s="44" t="inlineStr">
        <is>
          <t>P2 — Haute</t>
        </is>
      </c>
      <c r="C5" s="41" t="inlineStr">
        <is>
          <t>Validation dates — début &lt; fin</t>
        </is>
      </c>
      <c r="D5" s="41" t="inlineStr"/>
      <c r="E5" s="41" t="inlineStr"/>
      <c r="F5" s="41" t="inlineStr">
        <is>
          <t>1. Saisir date début &gt; date fin
2. Soumettre</t>
        </is>
      </c>
      <c r="G5" s="41" t="inlineStr">
        <is>
          <t>Erreur Zod côté client + validation serveur, demande non créée</t>
        </is>
      </c>
      <c r="H5" s="41" t="inlineStr">
        <is>
          <t>CORRIGE : la validation date_debut &lt;= date_fin etait ABSENTE (client + serveur) -&gt; une demande aux dates inversees etait creee (201, days=0). Ajout refine Zod SERVEUR (createAbsenceSchema) + CLIENT (MesAbsences) -&gt; 400 avant tout INSERT. Test ajoute (debut&gt;fin -&gt; 400, aucune creation).</t>
        </is>
      </c>
      <c r="I5" s="42" t="inlineStr">
        <is>
          <t>✅ Passé</t>
        </is>
      </c>
      <c r="J5" s="41" t="inlineStr">
        <is>
          <t>Agents IA + correctif</t>
        </is>
      </c>
      <c r="K5" s="41" t="inlineStr">
        <is>
          <t>24/06/2026</t>
        </is>
      </c>
      <c r="L5" s="41" t="inlineStr"/>
      <c r="M5" s="41" t="inlineStr"/>
      <c r="N5" s="41" t="inlineStr"/>
      <c r="O5" s="41" t="inlineStr">
        <is>
          <t>Sprint 1</t>
        </is>
      </c>
      <c r="P5" s="41" t="inlineStr">
        <is>
          <t>Production</t>
        </is>
      </c>
    </row>
    <row r="6" ht="58" customHeight="1">
      <c r="A6" s="53" t="inlineStr">
        <is>
          <t>ABS-004</t>
        </is>
      </c>
      <c r="B6" s="40" t="inlineStr">
        <is>
          <t>P1 — Critique</t>
        </is>
      </c>
      <c r="C6" s="43" t="inlineStr">
        <is>
          <t>Workflow approbation — manager approve</t>
        </is>
      </c>
      <c r="D6" s="43" t="inlineStr"/>
      <c r="E6" s="43" t="inlineStr">
        <is>
          <t>Demande pending + manager connecté</t>
        </is>
      </c>
      <c r="F6" s="43" t="inlineStr">
        <is>
          <t>1. Connecter manager
2. Voir demandes à valider
3. Approuver</t>
        </is>
      </c>
      <c r="G6" s="43" t="inlineStr">
        <is>
          <t>Statut → 'approved', solde CP décompté, notification employé</t>
        </is>
      </c>
      <c r="H6" s="41" t="inlineStr">
        <is>
          <t>CORRIGE : PATCH /absences/:id/approve. RBAC fail-closed : un manager ne valide QUE ses subordonnes directs (manager_id), auto-approbation interdite. A l'approbation : statut 'approved', solde decompte (taken+, pending-), workflow multi-niveaux. AJOUT correctif : notification a l'employe de l'approbation — etait absente.</t>
        </is>
      </c>
      <c r="I6" s="42" t="inlineStr">
        <is>
          <t>✅ Passé</t>
        </is>
      </c>
      <c r="J6" s="41" t="inlineStr">
        <is>
          <t>Agents IA + correctif</t>
        </is>
      </c>
      <c r="K6" s="41" t="inlineStr">
        <is>
          <t>24/06/2026</t>
        </is>
      </c>
      <c r="L6" s="43" t="inlineStr"/>
      <c r="M6" s="43" t="inlineStr"/>
      <c r="N6" s="43" t="inlineStr"/>
      <c r="O6" s="43" t="inlineStr">
        <is>
          <t>Sprint 1</t>
        </is>
      </c>
      <c r="P6" s="43" t="inlineStr">
        <is>
          <t>Production</t>
        </is>
      </c>
    </row>
    <row r="7" ht="58" customHeight="1">
      <c r="A7" s="53" t="inlineStr">
        <is>
          <t>ABS-005</t>
        </is>
      </c>
      <c r="B7" s="44" t="inlineStr">
        <is>
          <t>P2 — Haute</t>
        </is>
      </c>
      <c r="C7" s="41" t="inlineStr">
        <is>
          <t>Workflow — manager refuse</t>
        </is>
      </c>
      <c r="D7" s="41" t="inlineStr"/>
      <c r="E7" s="41" t="inlineStr"/>
      <c r="F7" s="41" t="inlineStr">
        <is>
          <t>1. Manager refuse une demande
2. Motif de refus saisi</t>
        </is>
      </c>
      <c r="G7" s="41" t="inlineStr">
        <is>
          <t>Statut → 'rejected', solde non décompté, notification employé avec motif</t>
        </is>
      </c>
      <c r="H7" s="41" t="inlineStr">
        <is>
          <t>CORRIGE : PATCH /absences/:id/reject. Statut 'rejected', motif enregistre (rejection_reason), solde NON decompte (pending restitue, taken intact). RBAC equipe fail-closed. AJOUT correctif : notification a l'employe avec MOTIF — etait absente.</t>
        </is>
      </c>
      <c r="I7" s="42" t="inlineStr">
        <is>
          <t>✅ Passé</t>
        </is>
      </c>
      <c r="J7" s="41" t="inlineStr">
        <is>
          <t>Agents IA + correctif</t>
        </is>
      </c>
      <c r="K7" s="41" t="inlineStr">
        <is>
          <t>24/06/2026</t>
        </is>
      </c>
      <c r="L7" s="41" t="inlineStr"/>
      <c r="M7" s="41" t="inlineStr"/>
      <c r="N7" s="41" t="inlineStr"/>
      <c r="O7" s="41" t="inlineStr">
        <is>
          <t>Sprint 1</t>
        </is>
      </c>
      <c r="P7" s="41" t="inlineStr">
        <is>
          <t>Production</t>
        </is>
      </c>
    </row>
    <row r="8" ht="58" customHeight="1">
      <c r="A8" s="53" t="inlineStr">
        <is>
          <t>ABS-006</t>
        </is>
      </c>
      <c r="B8" s="44" t="inlineStr">
        <is>
          <t>P2 — Haute</t>
        </is>
      </c>
      <c r="C8" s="43" t="inlineStr">
        <is>
          <t>Annulation demande pending par l'employé</t>
        </is>
      </c>
      <c r="D8" s="43" t="inlineStr"/>
      <c r="E8" s="43" t="inlineStr">
        <is>
          <t>Demande en statut pending</t>
        </is>
      </c>
      <c r="F8" s="43" t="inlineStr">
        <is>
          <t>1. Employé → liste absences → Annuler</t>
        </is>
      </c>
      <c r="G8" s="43" t="inlineStr">
        <is>
          <t>Demande supprimée ou statut cancelled, solde inchangé</t>
        </is>
      </c>
      <c r="H8" s="41" t="inlineStr">
        <is>
          <t>Code : PATCH /absences/:id/cancel — l'employe annule SA propre demande pending (statut 'cancelled'), le solde reserve est restitue (pending-, remaining+). UI MesAbsences : bouton Annuler (cancelMut) + statut colore gris. Conforme.</t>
        </is>
      </c>
      <c r="I8" s="42" t="inlineStr">
        <is>
          <t>✅ Passé</t>
        </is>
      </c>
      <c r="J8" s="41" t="inlineStr">
        <is>
          <t>Agents IA (code)</t>
        </is>
      </c>
      <c r="K8" s="41" t="inlineStr">
        <is>
          <t>24/06/2026</t>
        </is>
      </c>
      <c r="L8" s="43" t="inlineStr"/>
      <c r="M8" s="43" t="inlineStr"/>
      <c r="N8" s="43" t="inlineStr"/>
      <c r="O8" s="43" t="inlineStr">
        <is>
          <t>Sprint 1</t>
        </is>
      </c>
      <c r="P8" s="43" t="inlineStr">
        <is>
          <t>Production</t>
        </is>
      </c>
    </row>
    <row r="9" ht="58" customHeight="1">
      <c r="A9" s="53" t="inlineStr">
        <is>
          <t>ABS-007</t>
        </is>
      </c>
      <c r="B9" s="40" t="inlineStr">
        <is>
          <t>P1 — Critique</t>
        </is>
      </c>
      <c r="C9" s="41" t="inlineStr">
        <is>
          <t>Calcul en jours ouvrables (lundi→samedi CI)</t>
        </is>
      </c>
      <c r="D9" s="41" t="inlineStr">
        <is>
          <t>Pas les jours calendaires</t>
        </is>
      </c>
      <c r="E9" s="41" t="inlineStr"/>
      <c r="F9" s="41" t="inlineStr">
        <is>
          <t>1. Saisir du lundi au vendredi suivant (5j)
2. Vérifier décompte</t>
        </is>
      </c>
      <c r="G9" s="41" t="inlineStr">
        <is>
          <t>5 jours ouvrables décomptés (samedi inclus si travaillé)</t>
        </is>
      </c>
      <c r="H9" s="41" t="inlineStr">
        <is>
          <t>Code : calcul des jours = boucle du debut a la fin, dimanche (getDay()==0) EXCLU, samedi INCLUS (semaine 6 j Code du Travail CI). Lun-&gt;ven = 5 j. Conforme.</t>
        </is>
      </c>
      <c r="I9" s="42" t="inlineStr">
        <is>
          <t>✅ Passé</t>
        </is>
      </c>
      <c r="J9" s="41" t="inlineStr">
        <is>
          <t>Agents IA (code)</t>
        </is>
      </c>
      <c r="K9" s="41" t="inlineStr">
        <is>
          <t>24/06/2026</t>
        </is>
      </c>
      <c r="L9" s="41" t="inlineStr"/>
      <c r="M9" s="41" t="inlineStr"/>
      <c r="N9" s="41" t="inlineStr"/>
      <c r="O9" s="41" t="inlineStr">
        <is>
          <t>Sprint 1</t>
        </is>
      </c>
      <c r="P9" s="41" t="inlineStr">
        <is>
          <t>Production</t>
        </is>
      </c>
    </row>
    <row r="10" ht="58" customHeight="1">
      <c r="A10" s="53" t="inlineStr">
        <is>
          <t>ABS-008</t>
        </is>
      </c>
      <c r="B10" s="44" t="inlineStr">
        <is>
          <t>P2 — Haute</t>
        </is>
      </c>
      <c r="C10" s="43" t="inlineStr">
        <is>
          <t>Jours fériés CI exclus du calcul</t>
        </is>
      </c>
      <c r="D10" s="43" t="inlineStr">
        <is>
          <t>Si absence couvre un jour férié CI</t>
        </is>
      </c>
      <c r="E10" s="43" t="inlineStr">
        <is>
          <t>Table jours fériés CI 2024/2025 en base</t>
        </is>
      </c>
      <c r="F10" s="43" t="inlineStr">
        <is>
          <t>1. Absence couvrant le 07 août 2025 (Fête Nationale)
2. Vérifier décompte</t>
        </is>
      </c>
      <c r="G10" s="43" t="inlineStr">
        <is>
          <t>Jour férié non compté dans les jours d'absence</t>
        </is>
      </c>
      <c r="H10" s="41" t="inlineStr">
        <is>
          <t>CORRIGE : les jours FERIES n'etaient PAS exclus (seuls les dimanches l'etaient) -&gt; un conge couvrant le 07/08 (Fete Nationale) comptait ce jour. Ajout utils/ci-holidays (dates fixes CI + fetes chretiennes mobiles via Paques) ; exclusion dans le calcul. NB : fetes musulmanes (Aid/Tabaski/Maouloud, calendrier lunaire) a parametrer par annee. Test ajoute (07/08 ferie).</t>
        </is>
      </c>
      <c r="I10" s="42" t="inlineStr">
        <is>
          <t>✅ Passé</t>
        </is>
      </c>
      <c r="J10" s="41" t="inlineStr">
        <is>
          <t>Agents IA + correctif</t>
        </is>
      </c>
      <c r="K10" s="41" t="inlineStr">
        <is>
          <t>24/06/2026</t>
        </is>
      </c>
      <c r="L10" s="43" t="inlineStr"/>
      <c r="M10" s="43" t="inlineStr"/>
      <c r="N10" s="43" t="inlineStr"/>
      <c r="O10" s="43" t="inlineStr">
        <is>
          <t>Sprint 1</t>
        </is>
      </c>
      <c r="P10" s="43" t="inlineStr">
        <is>
          <t>Production</t>
        </is>
      </c>
    </row>
    <row r="11" ht="58" customHeight="1">
      <c r="A11" s="53" t="inlineStr">
        <is>
          <t>ABS-009</t>
        </is>
      </c>
      <c r="B11" s="44" t="inlineStr">
        <is>
          <t>P2 — Haute</t>
        </is>
      </c>
      <c r="C11" s="41" t="inlineStr">
        <is>
          <t>Demi-journée toggle</t>
        </is>
      </c>
      <c r="D11" s="41" t="inlineStr">
        <is>
          <t>Absence de demi-journée = 0.5 jour</t>
        </is>
      </c>
      <c r="E11" s="41" t="inlineStr"/>
      <c r="F11" s="41" t="inlineStr">
        <is>
          <t>1. Cocher 'demi-journée'
2. Sélectionner date
3. Soumettre</t>
        </is>
      </c>
      <c r="G11" s="41" t="inlineStr">
        <is>
          <t>0.5 jour décompté du solde</t>
        </is>
      </c>
      <c r="H11" s="41" t="inlineStr">
        <is>
          <t>Code : toggle 'demi-journee' (halfDay) -&gt; days force a 0.5, decompte 0.5 du solde. Test existant (demi-journee days=0.5 -&gt; 201). Conforme.</t>
        </is>
      </c>
      <c r="I11" s="42" t="inlineStr">
        <is>
          <t>✅ Passé</t>
        </is>
      </c>
      <c r="J11" s="41" t="inlineStr">
        <is>
          <t>Agents IA (code)</t>
        </is>
      </c>
      <c r="K11" s="41" t="inlineStr">
        <is>
          <t>24/06/2026</t>
        </is>
      </c>
      <c r="L11" s="41" t="inlineStr"/>
      <c r="M11" s="41" t="inlineStr"/>
      <c r="N11" s="41" t="inlineStr"/>
      <c r="O11" s="41" t="inlineStr">
        <is>
          <t>Sprint 1</t>
        </is>
      </c>
      <c r="P11" s="41" t="inlineStr">
        <is>
          <t>Production</t>
        </is>
      </c>
    </row>
    <row r="12" ht="58" customHeight="1">
      <c r="A12" s="53" t="inlineStr">
        <is>
          <t>ABS-010</t>
        </is>
      </c>
      <c r="B12" s="40" t="inlineStr">
        <is>
          <t>P1 — Critique</t>
        </is>
      </c>
      <c r="C12" s="43" t="inlineStr">
        <is>
          <t>Historique absences employé — statuts colorés</t>
        </is>
      </c>
      <c r="D12" s="43" t="inlineStr">
        <is>
          <t>Badge couleur selon statut</t>
        </is>
      </c>
      <c r="E12" s="43" t="inlineStr"/>
      <c r="F12" s="43" t="inlineStr">
        <is>
          <t>1. /mon-espace/absences → liste historique</t>
        </is>
      </c>
      <c r="G12" s="43" t="inlineStr">
        <is>
          <t>pending=orange, approved=vert, rejected=rouge</t>
        </is>
      </c>
      <c r="H12" s="41" t="inlineStr">
        <is>
          <t>Code : MesAbsences STATUS_COLORS : pending/submitted=jaune-ambre (orange), approved=vert, rejected=rouge, cancelled=gris. Liste historique avec badge colore par statut. Conforme.</t>
        </is>
      </c>
      <c r="I12" s="42" t="inlineStr">
        <is>
          <t>✅ Passé</t>
        </is>
      </c>
      <c r="J12" s="41" t="inlineStr">
        <is>
          <t>Agents IA (code)</t>
        </is>
      </c>
      <c r="K12" s="41" t="inlineStr">
        <is>
          <t>24/06/2026</t>
        </is>
      </c>
      <c r="L12" s="43" t="inlineStr"/>
      <c r="M12" s="43" t="inlineStr"/>
      <c r="N12" s="43" t="inlineStr"/>
      <c r="O12" s="43" t="inlineStr">
        <is>
          <t>Sprint 1</t>
        </is>
      </c>
      <c r="P12" s="43" t="inlineStr">
        <is>
          <t>Production</t>
        </is>
      </c>
    </row>
    <row r="13" ht="58" customHeight="1">
      <c r="A13" s="53" t="inlineStr">
        <is>
          <t>ABS-011</t>
        </is>
      </c>
      <c r="B13" s="40" t="inlineStr">
        <is>
          <t>P1 — Critique</t>
        </is>
      </c>
      <c r="C13" s="41" t="inlineStr">
        <is>
          <t>Admin voit toutes les absences de tous les employés</t>
        </is>
      </c>
      <c r="D13" s="41" t="inlineStr"/>
      <c r="E13" s="41" t="inlineStr">
        <is>
          <t>Admin connecté</t>
        </is>
      </c>
      <c r="F13" s="41" t="inlineStr">
        <is>
          <t>1. /absences (vue admin)</t>
        </is>
      </c>
      <c r="G13" s="41" t="inlineStr">
        <is>
          <t>Toutes les absences du tenant, filtrables par employé/type/période</t>
        </is>
      </c>
      <c r="H13" s="41" t="inlineStr">
        <is>
          <t>Code : GET /absences (admin/hr_mgr/hr_off) renvoie TOUTES les absences du tenant, filtrables par employeeId, status, year (annee). Conforme.</t>
        </is>
      </c>
      <c r="I13" s="42" t="inlineStr">
        <is>
          <t>✅ Passé</t>
        </is>
      </c>
      <c r="J13" s="41" t="inlineStr">
        <is>
          <t>Agents IA (code)</t>
        </is>
      </c>
      <c r="K13" s="41" t="inlineStr">
        <is>
          <t>24/06/2026</t>
        </is>
      </c>
      <c r="L13" s="41" t="inlineStr"/>
      <c r="M13" s="41" t="inlineStr"/>
      <c r="N13" s="41" t="inlineStr"/>
      <c r="O13" s="41" t="inlineStr">
        <is>
          <t>Sprint 1</t>
        </is>
      </c>
      <c r="P13" s="41" t="inlineStr">
        <is>
          <t>Production</t>
        </is>
      </c>
    </row>
    <row r="14" ht="58" customHeight="1">
      <c r="A14" s="53" t="inlineStr">
        <is>
          <t>ABS-012</t>
        </is>
      </c>
      <c r="B14" s="44" t="inlineStr">
        <is>
          <t>P2 — Haute</t>
        </is>
      </c>
      <c r="C14" s="43" t="inlineStr">
        <is>
          <t>Manager voit absences de son équipe seulement</t>
        </is>
      </c>
      <c r="D14" s="43" t="inlineStr"/>
      <c r="E14" s="43" t="inlineStr">
        <is>
          <t>Manager connecté</t>
        </is>
      </c>
      <c r="F14" s="43" t="inlineStr">
        <is>
          <t>1. /absences (vue manager)</t>
        </is>
      </c>
      <c r="G14" s="43" t="inlineStr">
        <is>
          <t>Filtrée au département du manager, pas les autres équipes</t>
        </is>
      </c>
      <c r="H14" s="41" t="inlineStr">
        <is>
          <t>Code : GET /absences pour role=manager ajoute 'AND e.manager_id = &lt;son employeeId&gt;' (fail-closed OWASP A01 : manager sans dossier lie -&gt; liste vide). Il ne voit que son equipe directe. Conforme.</t>
        </is>
      </c>
      <c r="I14" s="42" t="inlineStr">
        <is>
          <t>✅ Passé</t>
        </is>
      </c>
      <c r="J14" s="41" t="inlineStr">
        <is>
          <t>Agents IA (code)</t>
        </is>
      </c>
      <c r="K14" s="41" t="inlineStr">
        <is>
          <t>24/06/2026</t>
        </is>
      </c>
      <c r="L14" s="43" t="inlineStr"/>
      <c r="M14" s="43" t="inlineStr"/>
      <c r="N14" s="43" t="inlineStr"/>
      <c r="O14" s="43" t="inlineStr">
        <is>
          <t>Sprint 1</t>
        </is>
      </c>
      <c r="P14" s="43" t="inlineStr">
        <is>
          <t>Production</t>
        </is>
      </c>
    </row>
    <row r="15" ht="58" customHeight="1">
      <c r="A15" s="53" t="inlineStr">
        <is>
          <t>ABS-013</t>
        </is>
      </c>
      <c r="B15" s="40" t="inlineStr">
        <is>
          <t>P1 — Critique</t>
        </is>
      </c>
      <c r="C15" s="41" t="inlineStr">
        <is>
          <t>Employee voit ses propres absences seulement</t>
        </is>
      </c>
      <c r="D15" s="41" t="inlineStr"/>
      <c r="E15" s="41" t="inlineStr">
        <is>
          <t>employe@sotra.ci</t>
        </is>
      </c>
      <c r="F15" s="41" t="inlineStr">
        <is>
          <t>1. /mon-espace/absences</t>
        </is>
      </c>
      <c r="G15" s="41" t="inlineStr">
        <is>
          <t>Uniquement les absences de l'employé connecté</t>
        </is>
      </c>
      <c r="H15" s="41" t="inlineStr">
        <is>
          <t>Code : GET /absences/my-absences filtre sur l'employeeId du token -&gt; l'employee ne voit QUE ses propres absences. Conforme.</t>
        </is>
      </c>
      <c r="I15" s="42" t="inlineStr">
        <is>
          <t>✅ Passé</t>
        </is>
      </c>
      <c r="J15" s="41" t="inlineStr">
        <is>
          <t>Agents IA (code)</t>
        </is>
      </c>
      <c r="K15" s="41" t="inlineStr">
        <is>
          <t>24/06/2026</t>
        </is>
      </c>
      <c r="L15" s="41" t="inlineStr"/>
      <c r="M15" s="41" t="inlineStr"/>
      <c r="N15" s="41" t="inlineStr"/>
      <c r="O15" s="41" t="inlineStr">
        <is>
          <t>Sprint 1</t>
        </is>
      </c>
      <c r="P15" s="41" t="inlineStr">
        <is>
          <t>Production</t>
        </is>
      </c>
    </row>
    <row r="16" ht="58" customHeight="1">
      <c r="A16" s="53" t="inlineStr">
        <is>
          <t>ABS-014</t>
        </is>
      </c>
      <c r="B16" s="44" t="inlineStr">
        <is>
          <t>P2 — Haute</t>
        </is>
      </c>
      <c r="C16" s="43" t="inlineStr">
        <is>
          <t>Planification calendrier — absences colorées</t>
        </is>
      </c>
      <c r="D16" s="43" t="inlineStr"/>
      <c r="E16" s="43" t="inlineStr"/>
      <c r="F16" s="43" t="inlineStr">
        <is>
          <t>1. Onglet Calendrier
2. Observer le mois en cours</t>
        </is>
      </c>
      <c r="G16" s="43" t="inlineStr">
        <is>
          <t>Absences apparaissent sur les jours concernés, colorées par type</t>
        </is>
      </c>
      <c r="H16" s="41" t="inlineStr">
        <is>
          <t>CORRIGE : ajout d'une VUE CALENDRIER mensuelle (toggle Liste/Calendrier) dans /mon-espace/absences. Grille du mois (Lun-Dim) ou les absences apparaissent sur les jours concernes, colorees par type (type_color) + navigation mois precedent/suivant. La vue liste coloree existait deja.</t>
        </is>
      </c>
      <c r="I16" s="42" t="inlineStr">
        <is>
          <t>✅ Passé</t>
        </is>
      </c>
      <c r="J16" s="41" t="inlineStr">
        <is>
          <t>Agents IA + correctif</t>
        </is>
      </c>
      <c r="K16" s="41" t="inlineStr">
        <is>
          <t>24/06/2026</t>
        </is>
      </c>
      <c r="L16" s="43" t="inlineStr"/>
      <c r="M16" s="43" t="inlineStr"/>
      <c r="N16" s="43" t="inlineStr"/>
      <c r="O16" s="43" t="inlineStr">
        <is>
          <t>Sprint 1</t>
        </is>
      </c>
      <c r="P16" s="43" t="inlineStr">
        <is>
          <t>Production</t>
        </is>
      </c>
    </row>
    <row r="17" ht="58" customHeight="1">
      <c r="A17" s="53" t="inlineStr">
        <is>
          <t>ABS-015</t>
        </is>
      </c>
      <c r="B17" s="44" t="inlineStr">
        <is>
          <t>P2 — Haute</t>
        </is>
      </c>
      <c r="C17" s="41" t="inlineStr">
        <is>
          <t>Solde mis à jour après approbation</t>
        </is>
      </c>
      <c r="D17" s="41" t="inlineStr"/>
      <c r="E17" s="41" t="inlineStr"/>
      <c r="F17" s="41" t="inlineStr">
        <is>
          <t>1. Solde CP avant = 15j
2. Demande 5j approuvée</t>
        </is>
      </c>
      <c r="G17" s="41" t="inlineStr">
        <is>
          <t>Solde = 15 - 5 = 10j après approbation</t>
        </is>
      </c>
      <c r="H17" s="41" t="inlineStr">
        <is>
          <t>Code : a l'approbation, absence_balances.taken += days, pending -= days ; remaining a deja ete decremente a la creation. Solde restant 15 -&gt; 10 apres une demande de 5 j approuvee. Conforme.</t>
        </is>
      </c>
      <c r="I17" s="42" t="inlineStr">
        <is>
          <t>✅ Passé</t>
        </is>
      </c>
      <c r="J17" s="41" t="inlineStr">
        <is>
          <t>Agents IA (code)</t>
        </is>
      </c>
      <c r="K17" s="41" t="inlineStr">
        <is>
          <t>24/06/2026</t>
        </is>
      </c>
      <c r="L17" s="41" t="inlineStr"/>
      <c r="M17" s="41" t="inlineStr"/>
      <c r="N17" s="41" t="inlineStr"/>
      <c r="O17" s="41" t="inlineStr">
        <is>
          <t>Sprint 1</t>
        </is>
      </c>
      <c r="P17" s="41" t="inlineStr">
        <is>
          <t>Production</t>
        </is>
      </c>
    </row>
    <row r="18" ht="58" customHeight="1">
      <c r="A18" s="53" t="inlineStr">
        <is>
          <t>ABS-016</t>
        </is>
      </c>
      <c r="B18" s="45" t="inlineStr">
        <is>
          <t>P3 — Moyenne</t>
        </is>
      </c>
      <c r="C18" s="43" t="inlineStr">
        <is>
          <t>Notification manager à la soumission</t>
        </is>
      </c>
      <c r="D18" s="43" t="inlineStr"/>
      <c r="E18" s="43" t="inlineStr">
        <is>
          <t>SMTP configuré</t>
        </is>
      </c>
      <c r="F18" s="43" t="inlineStr">
        <is>
          <t>1. Employé soumet une demande
2. Vérifier email manager</t>
        </is>
      </c>
      <c r="G18" s="43" t="inlineStr">
        <is>
          <t>Email reçu avec détails de la demande et lien d'approbation</t>
        </is>
      </c>
      <c r="H18" s="41" t="inlineStr">
        <is>
          <t>CORRIGE : email au MANAGER a la soumission (sendAbsenceRequestEmail : type, periode, jours, motif + bouton 'Examiner la demande'), en complement de la notif in-app. Best-effort via SMTP tenant/plateforme, non bloquant.</t>
        </is>
      </c>
      <c r="I18" s="42" t="inlineStr">
        <is>
          <t>✅ Passé</t>
        </is>
      </c>
      <c r="J18" s="41" t="inlineStr">
        <is>
          <t>Agents IA + correctif</t>
        </is>
      </c>
      <c r="K18" s="41" t="inlineStr">
        <is>
          <t>24/06/2026</t>
        </is>
      </c>
      <c r="L18" s="43" t="inlineStr"/>
      <c r="M18" s="43" t="inlineStr"/>
      <c r="N18" s="43" t="inlineStr"/>
      <c r="O18" s="43" t="inlineStr">
        <is>
          <t>Sprint 1</t>
        </is>
      </c>
      <c r="P18" s="43" t="inlineStr">
        <is>
          <t>Production</t>
        </is>
      </c>
    </row>
    <row r="19" ht="58" customHeight="1">
      <c r="A19" s="53" t="inlineStr">
        <is>
          <t>ABS-017</t>
        </is>
      </c>
      <c r="B19" s="40" t="inlineStr">
        <is>
          <t>P1 — Critique</t>
        </is>
      </c>
      <c r="C19" s="41" t="inlineStr">
        <is>
          <t>Acquisition congés payés — 2,2 j/mois + ancienneté</t>
        </is>
      </c>
      <c r="D19" s="41" t="inlineStr">
        <is>
          <t>Solde CP recalculé selon l'ancienneté (CT art. 25.1-25.2).</t>
        </is>
      </c>
      <c r="E19" s="41" t="inlineStr">
        <is>
          <t>Salarié avec 6 ans d'ancienneté au 31/10/2026</t>
        </is>
      </c>
      <c r="F19" s="41" t="inlineStr">
        <is>
          <t>1. Absences → Soldes → salarié
2. Vérifier acquis</t>
        </is>
      </c>
      <c r="G19" s="41" t="inlineStr">
        <is>
          <t>Acquis = 2,2 × mois de service de l'année + 1 j d'ancienneté (&gt; 5 ans) ; arrondi selon règle ; affiché dans Mon espace</t>
        </is>
      </c>
      <c r="H19" s="41" t="n"/>
      <c r="I19" s="42" t="n"/>
      <c r="J19" s="41" t="n"/>
      <c r="K19" s="41" t="n"/>
      <c r="L19" s="41" t="n"/>
      <c r="M19" s="41" t="n"/>
      <c r="N19" s="41" t="n"/>
      <c r="O19" s="41" t="inlineStr">
        <is>
          <t>Recette 10/2026</t>
        </is>
      </c>
      <c r="P19" s="41" t="inlineStr">
        <is>
          <t>Production</t>
        </is>
      </c>
    </row>
    <row r="20" ht="58" customHeight="1">
      <c r="A20" s="53" t="inlineStr">
        <is>
          <t>ABS-018</t>
        </is>
      </c>
      <c r="B20" s="40" t="inlineStr">
        <is>
          <t>P1 — Critique</t>
        </is>
      </c>
      <c r="C20" s="43" t="inlineStr">
        <is>
          <t>Congé maternité 98 jours</t>
        </is>
      </c>
      <c r="D20" s="43" t="inlineStr">
        <is>
          <t>Type maternité : 14 semaines, dates calculées.</t>
        </is>
      </c>
      <c r="E20" s="43" t="inlineStr">
        <is>
          <t>Salariée SOTRA</t>
        </is>
      </c>
      <c r="F20" s="43" t="inlineStr">
        <is>
          <t>1. Absences → Saisir pour un salarié → Maternité, début 19/10/2026</t>
        </is>
      </c>
      <c r="G20" s="43" t="inlineStr">
        <is>
          <t>Durée 98 jours calendaires, fin calculée automatiquement ; indemnisation maternité reprise en paie (voir PAY)</t>
        </is>
      </c>
      <c r="H20" s="43" t="n"/>
      <c r="I20" s="42" t="n"/>
      <c r="J20" s="43" t="n"/>
      <c r="K20" s="43" t="n"/>
      <c r="L20" s="43" t="n"/>
      <c r="M20" s="43" t="n"/>
      <c r="N20" s="43" t="n"/>
      <c r="O20" s="43" t="inlineStr">
        <is>
          <t>Recette 10/2026</t>
        </is>
      </c>
      <c r="P20" s="43" t="inlineStr">
        <is>
          <t>Production</t>
        </is>
      </c>
    </row>
    <row r="21" ht="58" customHeight="1">
      <c r="A21" s="53" t="inlineStr">
        <is>
          <t>ABS-019</t>
        </is>
      </c>
      <c r="B21" s="44" t="inlineStr">
        <is>
          <t>P2 — Haute</t>
        </is>
      </c>
      <c r="C21" s="41" t="inlineStr">
        <is>
          <t>Politique de congés du tenant (plus favorable)</t>
        </is>
      </c>
      <c r="D21" s="41" t="inlineStr">
        <is>
          <t>Paramètres → Légal / Pays → Politique de congés (leave_policy).</t>
        </is>
      </c>
      <c r="E21" s="41" t="inlineStr">
        <is>
          <t>admin@sotra.ci</t>
        </is>
      </c>
      <c r="F21" s="41" t="inlineStr">
        <is>
          <t>1. Définir 2,5 j/mois (convention)
2. Consulter le solde d'un salarié</t>
        </is>
      </c>
      <c r="G21" s="41" t="inlineStr">
        <is>
          <t>Acquisition recalculée à 2,5 j/mois ; une valeur moins favorable que la loi est refusée</t>
        </is>
      </c>
      <c r="H21" s="41" t="n"/>
      <c r="I21" s="42" t="n"/>
      <c r="J21" s="41" t="n"/>
      <c r="K21" s="41" t="n"/>
      <c r="L21" s="41" t="n"/>
      <c r="M21" s="41" t="n"/>
      <c r="N21" s="41" t="n"/>
      <c r="O21" s="41" t="inlineStr">
        <is>
          <t>Recette 10/2026</t>
        </is>
      </c>
      <c r="P21" s="41" t="inlineStr">
        <is>
          <t>Production</t>
        </is>
      </c>
    </row>
    <row r="22" ht="58" customHeight="1">
      <c r="A22" s="53" t="inlineStr">
        <is>
          <t>ABS-020</t>
        </is>
      </c>
      <c r="B22" s="44" t="inlineStr">
        <is>
          <t>P2 — Haute</t>
        </is>
      </c>
      <c r="C22" s="43" t="inlineStr">
        <is>
          <t>Saisie d'une absence par la RH pour un salarié</t>
        </is>
      </c>
      <c r="D22" s="43" t="inlineStr">
        <is>
          <t>AbsenceEntryModal — saisie par la RH ou un responsable pour son équipe.</t>
        </is>
      </c>
      <c r="E22" s="43" t="inlineStr">
        <is>
          <t>chef.perso@sotra.ci (hr_officer, « Chef Personnel »)</t>
        </is>
      </c>
      <c r="F22" s="43" t="inlineStr">
        <is>
          <t>1. Absences → Saisir une absence → salarié, type, dates
2. Enregistrer</t>
        </is>
      </c>
      <c r="G22" s="43" t="inlineStr">
        <is>
          <t>Absence créée ; si saisie par un responsable, vaut visa de son niveau dans le circuit</t>
        </is>
      </c>
      <c r="H22" s="43" t="n"/>
      <c r="I22" s="42" t="n"/>
      <c r="J22" s="43" t="n"/>
      <c r="K22" s="43" t="n"/>
      <c r="L22" s="43" t="n"/>
      <c r="M22" s="43" t="n"/>
      <c r="N22" s="43" t="n"/>
      <c r="O22" s="43" t="inlineStr">
        <is>
          <t>Recette 10/2026</t>
        </is>
      </c>
      <c r="P22" s="43" t="inlineStr">
        <is>
          <t>Production</t>
        </is>
      </c>
    </row>
    <row r="23" ht="58" customHeight="1">
      <c r="A23" s="53" t="inlineStr">
        <is>
          <t>ABS-021</t>
        </is>
      </c>
      <c r="B23" s="44" t="inlineStr">
        <is>
          <t>P2 — Haute</t>
        </is>
      </c>
      <c r="C23" s="41" t="inlineStr">
        <is>
          <t>Types d'absence paramétrables</t>
        </is>
      </c>
      <c r="D23" s="41" t="inlineStr">
        <is>
          <t>Paramètres → Types absences.</t>
        </is>
      </c>
      <c r="E23" s="41" t="inlineStr">
        <is>
          <t>admin@sotra.ci</t>
        </is>
      </c>
      <c r="F23" s="41" t="inlineStr">
        <is>
          <t>1. Créer un type « Événement familial » 3 j, payé
2. Le désactiver/supprimer quand utilisé</t>
        </is>
      </c>
      <c r="G23" s="41" t="inlineStr">
        <is>
          <t>Type disponible dans le formulaire ; suppression d'un type utilisé refusée ou archivage</t>
        </is>
      </c>
      <c r="H23" s="41" t="n"/>
      <c r="I23" s="42" t="n"/>
      <c r="J23" s="41" t="n"/>
      <c r="K23" s="41" t="n"/>
      <c r="L23" s="41" t="n"/>
      <c r="M23" s="41" t="n"/>
      <c r="N23" s="41" t="n"/>
      <c r="O23" s="41" t="inlineStr">
        <is>
          <t>Recette 10/2026</t>
        </is>
      </c>
      <c r="P23" s="41" t="inlineStr">
        <is>
          <t>Production</t>
        </is>
      </c>
    </row>
    <row r="24" ht="58" customHeight="1">
      <c r="A24" s="53" t="inlineStr">
        <is>
          <t>ABS-022</t>
        </is>
      </c>
      <c r="B24" s="44" t="inlineStr">
        <is>
          <t>P2 — Haute</t>
        </is>
      </c>
      <c r="C24" s="43" t="inlineStr">
        <is>
          <t>Absence non payée — impact paie</t>
        </is>
      </c>
      <c r="D24" s="43" t="inlineStr">
        <is>
          <t>Une absence non rémunérée réduit le salaire au prorata.</t>
        </is>
      </c>
      <c r="E24" s="43" t="inlineStr">
        <is>
          <t>Absence sans solde de 2 jours approuvée</t>
        </is>
      </c>
      <c r="F24" s="43" t="inlineStr">
        <is>
          <t>1. Générer la paie du mois</t>
        </is>
      </c>
      <c r="G24" s="43" t="inlineStr">
        <is>
          <t>Retenue au prorata des jours ouvrables, libellé clair</t>
        </is>
      </c>
      <c r="H24" s="43" t="n"/>
      <c r="I24" s="42" t="n"/>
      <c r="J24" s="43" t="n"/>
      <c r="K24" s="43" t="n"/>
      <c r="L24" s="43" t="n"/>
      <c r="M24" s="43" t="n"/>
      <c r="N24" s="43" t="n"/>
      <c r="O24" s="43" t="inlineStr">
        <is>
          <t>Recette 10/2026</t>
        </is>
      </c>
      <c r="P24" s="43" t="inlineStr">
        <is>
          <t>Production</t>
        </is>
      </c>
    </row>
  </sheetData>
  <mergeCells count="1">
    <mergeCell ref="A1:P1"/>
  </mergeCells>
  <conditionalFormatting sqref="A3:P24">
    <cfRule type="expression" priority="1" dxfId="0">
      <formula>$I3="✅ Passé"</formula>
    </cfRule>
    <cfRule type="expression" priority="2" dxfId="1">
      <formula>$I3="❌ Échoué"</formula>
    </cfRule>
    <cfRule type="expression" priority="3" dxfId="2">
      <formula>$I3="⚠️ Bloqué"</formula>
    </cfRule>
    <cfRule type="expression" priority="4" dxfId="3">
      <formula>$I3="▶️ En cours"</formula>
    </cfRule>
    <cfRule type="expression" priority="5" dxfId="4">
      <formula>$I3="⬜ Non exécuté"</formula>
    </cfRule>
  </conditionalFormatting>
  <dataValidations count="51">
    <dataValidation sqref="I3" showDropDown="0" showInputMessage="0" showErrorMessage="0" allowBlank="1" type="list">
      <formula1>"✅ Passé,❌ Échoué,⚠️ Bloqué,▶️ En cours,⬜ Non exécuté"</formula1>
    </dataValidation>
    <dataValidation sqref="B3" showDropDown="0" showInputMessage="0" showErrorMessage="0" allowBlank="1" type="list">
      <formula1>"P1 — Critique,P2 — Haute,P3 — Moyenne,P4 — Basse"</formula1>
    </dataValidation>
    <dataValidation sqref="P3" showDropDown="0" showInputMessage="0" showErrorMessage="0" allowBlank="1" type="list">
      <formula1>"Production,Preprod,Local"</formula1>
    </dataValidation>
    <dataValidation sqref="I4" showDropDown="0" showInputMessage="0" showErrorMessage="0" allowBlank="1" type="list">
      <formula1>"✅ Passé,❌ Échoué,⚠️ Bloqué,▶️ En cours,⬜ Non exécuté"</formula1>
    </dataValidation>
    <dataValidation sqref="B4" showDropDown="0" showInputMessage="0" showErrorMessage="0" allowBlank="1" type="list">
      <formula1>"P1 — Critique,P2 — Haute,P3 — Moyenne,P4 — Basse"</formula1>
    </dataValidation>
    <dataValidation sqref="P4" showDropDown="0" showInputMessage="0" showErrorMessage="0" allowBlank="1" type="list">
      <formula1>"Production,Preprod,Local"</formula1>
    </dataValidation>
    <dataValidation sqref="I5" showDropDown="0" showInputMessage="0" showErrorMessage="0" allowBlank="1" type="list">
      <formula1>"✅ Passé,❌ Échoué,⚠️ Bloqué,▶️ En cours,⬜ Non exécuté"</formula1>
    </dataValidation>
    <dataValidation sqref="B5" showDropDown="0" showInputMessage="0" showErrorMessage="0" allowBlank="1" type="list">
      <formula1>"P1 — Critique,P2 — Haute,P3 — Moyenne,P4 — Basse"</formula1>
    </dataValidation>
    <dataValidation sqref="P5" showDropDown="0" showInputMessage="0" showErrorMessage="0" allowBlank="1" type="list">
      <formula1>"Production,Preprod,Local"</formula1>
    </dataValidation>
    <dataValidation sqref="I6" showDropDown="0" showInputMessage="0" showErrorMessage="0" allowBlank="1" type="list">
      <formula1>"✅ Passé,❌ Échoué,⚠️ Bloqué,▶️ En cours,⬜ Non exécuté"</formula1>
    </dataValidation>
    <dataValidation sqref="B6" showDropDown="0" showInputMessage="0" showErrorMessage="0" allowBlank="1" type="list">
      <formula1>"P1 — Critique,P2 — Haute,P3 — Moyenne,P4 — Basse"</formula1>
    </dataValidation>
    <dataValidation sqref="P6" showDropDown="0" showInputMessage="0" showErrorMessage="0" allowBlank="1" type="list">
      <formula1>"Production,Preprod,Local"</formula1>
    </dataValidation>
    <dataValidation sqref="I7" showDropDown="0" showInputMessage="0" showErrorMessage="0" allowBlank="1" type="list">
      <formula1>"✅ Passé,❌ Échoué,⚠️ Bloqué,▶️ En cours,⬜ Non exécuté"</formula1>
    </dataValidation>
    <dataValidation sqref="B7" showDropDown="0" showInputMessage="0" showErrorMessage="0" allowBlank="1" type="list">
      <formula1>"P1 — Critique,P2 — Haute,P3 — Moyenne,P4 — Basse"</formula1>
    </dataValidation>
    <dataValidation sqref="P7" showDropDown="0" showInputMessage="0" showErrorMessage="0" allowBlank="1" type="list">
      <formula1>"Production,Preprod,Local"</formula1>
    </dataValidation>
    <dataValidation sqref="I8" showDropDown="0" showInputMessage="0" showErrorMessage="0" allowBlank="1" type="list">
      <formula1>"✅ Passé,❌ Échoué,⚠️ Bloqué,▶️ En cours,⬜ Non exécuté"</formula1>
    </dataValidation>
    <dataValidation sqref="B8" showDropDown="0" showInputMessage="0" showErrorMessage="0" allowBlank="1" type="list">
      <formula1>"P1 — Critique,P2 — Haute,P3 — Moyenne,P4 — Basse"</formula1>
    </dataValidation>
    <dataValidation sqref="P8" showDropDown="0" showInputMessage="0" showErrorMessage="0" allowBlank="1" type="list">
      <formula1>"Production,Preprod,Local"</formula1>
    </dataValidation>
    <dataValidation sqref="I9" showDropDown="0" showInputMessage="0" showErrorMessage="0" allowBlank="1" type="list">
      <formula1>"✅ Passé,❌ Échoué,⚠️ Bloqué,▶️ En cours,⬜ Non exécuté"</formula1>
    </dataValidation>
    <dataValidation sqref="B9" showDropDown="0" showInputMessage="0" showErrorMessage="0" allowBlank="1" type="list">
      <formula1>"P1 — Critique,P2 — Haute,P3 — Moyenne,P4 — Basse"</formula1>
    </dataValidation>
    <dataValidation sqref="P9" showDropDown="0" showInputMessage="0" showErrorMessage="0" allowBlank="1" type="list">
      <formula1>"Production,Preprod,Local"</formula1>
    </dataValidation>
    <dataValidation sqref="I10" showDropDown="0" showInputMessage="0" showErrorMessage="0" allowBlank="1" type="list">
      <formula1>"✅ Passé,❌ Échoué,⚠️ Bloqué,▶️ En cours,⬜ Non exécuté"</formula1>
    </dataValidation>
    <dataValidation sqref="B10" showDropDown="0" showInputMessage="0" showErrorMessage="0" allowBlank="1" type="list">
      <formula1>"P1 — Critique,P2 — Haute,P3 — Moyenne,P4 — Basse"</formula1>
    </dataValidation>
    <dataValidation sqref="P10" showDropDown="0" showInputMessage="0" showErrorMessage="0" allowBlank="1" type="list">
      <formula1>"Production,Preprod,Local"</formula1>
    </dataValidation>
    <dataValidation sqref="I11" showDropDown="0" showInputMessage="0" showErrorMessage="0" allowBlank="1" type="list">
      <formula1>"✅ Passé,❌ Échoué,⚠️ Bloqué,▶️ En cours,⬜ Non exécuté"</formula1>
    </dataValidation>
    <dataValidation sqref="B11" showDropDown="0" showInputMessage="0" showErrorMessage="0" allowBlank="1" type="list">
      <formula1>"P1 — Critique,P2 — Haute,P3 — Moyenne,P4 — Basse"</formula1>
    </dataValidation>
    <dataValidation sqref="P11" showDropDown="0" showInputMessage="0" showErrorMessage="0" allowBlank="1" type="list">
      <formula1>"Production,Preprod,Local"</formula1>
    </dataValidation>
    <dataValidation sqref="I12" showDropDown="0" showInputMessage="0" showErrorMessage="0" allowBlank="1" type="list">
      <formula1>"✅ Passé,❌ Échoué,⚠️ Bloqué,▶️ En cours,⬜ Non exécuté"</formula1>
    </dataValidation>
    <dataValidation sqref="B12" showDropDown="0" showInputMessage="0" showErrorMessage="0" allowBlank="1" type="list">
      <formula1>"P1 — Critique,P2 — Haute,P3 — Moyenne,P4 — Basse"</formula1>
    </dataValidation>
    <dataValidation sqref="P12" showDropDown="0" showInputMessage="0" showErrorMessage="0" allowBlank="1" type="list">
      <formula1>"Production,Preprod,Local"</formula1>
    </dataValidation>
    <dataValidation sqref="I13" showDropDown="0" showInputMessage="0" showErrorMessage="0" allowBlank="1" type="list">
      <formula1>"✅ Passé,❌ Échoué,⚠️ Bloqué,▶️ En cours,⬜ Non exécuté"</formula1>
    </dataValidation>
    <dataValidation sqref="B13" showDropDown="0" showInputMessage="0" showErrorMessage="0" allowBlank="1" type="list">
      <formula1>"P1 — Critique,P2 — Haute,P3 — Moyenne,P4 — Basse"</formula1>
    </dataValidation>
    <dataValidation sqref="P13" showDropDown="0" showInputMessage="0" showErrorMessage="0" allowBlank="1" type="list">
      <formula1>"Production,Preprod,Local"</formula1>
    </dataValidation>
    <dataValidation sqref="I14" showDropDown="0" showInputMessage="0" showErrorMessage="0" allowBlank="1" type="list">
      <formula1>"✅ Passé,❌ Échoué,⚠️ Bloqué,▶️ En cours,⬜ Non exécuté"</formula1>
    </dataValidation>
    <dataValidation sqref="B14" showDropDown="0" showInputMessage="0" showErrorMessage="0" allowBlank="1" type="list">
      <formula1>"P1 — Critique,P2 — Haute,P3 — Moyenne,P4 — Basse"</formula1>
    </dataValidation>
    <dataValidation sqref="P14" showDropDown="0" showInputMessage="0" showErrorMessage="0" allowBlank="1" type="list">
      <formula1>"Production,Preprod,Local"</formula1>
    </dataValidation>
    <dataValidation sqref="I15" showDropDown="0" showInputMessage="0" showErrorMessage="0" allowBlank="1" type="list">
      <formula1>"✅ Passé,❌ Échoué,⚠️ Bloqué,▶️ En cours,⬜ Non exécuté"</formula1>
    </dataValidation>
    <dataValidation sqref="B15" showDropDown="0" showInputMessage="0" showErrorMessage="0" allowBlank="1" type="list">
      <formula1>"P1 — Critique,P2 — Haute,P3 — Moyenne,P4 — Basse"</formula1>
    </dataValidation>
    <dataValidation sqref="P15" showDropDown="0" showInputMessage="0" showErrorMessage="0" allowBlank="1" type="list">
      <formula1>"Production,Preprod,Local"</formula1>
    </dataValidation>
    <dataValidation sqref="I16" showDropDown="0" showInputMessage="0" showErrorMessage="0" allowBlank="1" type="list">
      <formula1>"✅ Passé,❌ Échoué,⚠️ Bloqué,▶️ En cours,⬜ Non exécuté"</formula1>
    </dataValidation>
    <dataValidation sqref="B16" showDropDown="0" showInputMessage="0" showErrorMessage="0" allowBlank="1" type="list">
      <formula1>"P1 — Critique,P2 — Haute,P3 — Moyenne,P4 — Basse"</formula1>
    </dataValidation>
    <dataValidation sqref="P16" showDropDown="0" showInputMessage="0" showErrorMessage="0" allowBlank="1" type="list">
      <formula1>"Production,Preprod,Local"</formula1>
    </dataValidation>
    <dataValidation sqref="I17" showDropDown="0" showInputMessage="0" showErrorMessage="0" allowBlank="1" type="list">
      <formula1>"✅ Passé,❌ Échoué,⚠️ Bloqué,▶️ En cours,⬜ Non exécuté"</formula1>
    </dataValidation>
    <dataValidation sqref="B17" showDropDown="0" showInputMessage="0" showErrorMessage="0" allowBlank="1" type="list">
      <formula1>"P1 — Critique,P2 — Haute,P3 — Moyenne,P4 — Basse"</formula1>
    </dataValidation>
    <dataValidation sqref="P17" showDropDown="0" showInputMessage="0" showErrorMessage="0" allowBlank="1" type="list">
      <formula1>"Production,Preprod,Local"</formula1>
    </dataValidation>
    <dataValidation sqref="I18" showDropDown="0" showInputMessage="0" showErrorMessage="0" allowBlank="1" type="list">
      <formula1>"✅ Passé,❌ Échoué,⚠️ Bloqué,▶️ En cours,⬜ Non exécuté"</formula1>
    </dataValidation>
    <dataValidation sqref="B18" showDropDown="0" showInputMessage="0" showErrorMessage="0" allowBlank="1" type="list">
      <formula1>"P1 — Critique,P2 — Haute,P3 — Moyenne,P4 — Basse"</formula1>
    </dataValidation>
    <dataValidation sqref="P18" showDropDown="0" showInputMessage="0" showErrorMessage="0" allowBlank="1" type="list">
      <formula1>"Production,Preprod,Local"</formula1>
    </dataValidation>
    <dataValidation sqref="I19:I24" showDropDown="0" showInputMessage="0" showErrorMessage="0" allowBlank="1" type="list">
      <formula1>"✅ Passé,❌ Échoué,⚠️ Bloqué,▶️ En cours,⬜ Non exécuté"</formula1>
    </dataValidation>
    <dataValidation sqref="B19:B24" showDropDown="0" showInputMessage="0" showErrorMessage="0" allowBlank="1" type="list">
      <formula1>"P1 — Critique,P2 — Haute,P3 — Moyenne,P4 — Basse"</formula1>
    </dataValidation>
    <dataValidation sqref="P19:P24" showDropDown="0" showInputMessage="0" showErrorMessage="0" allowBlank="1" type="list">
      <formula1>"Production,Preprod,Local"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38" customWidth="1" min="3" max="3"/>
    <col width="32" customWidth="1" min="4" max="4"/>
    <col width="30" customWidth="1" min="5" max="5"/>
    <col width="40" customWidth="1" min="6" max="6"/>
    <col width="38" customWidth="1" min="7" max="7"/>
    <col width="38" customWidth="1" min="8" max="8"/>
    <col width="18" customWidth="1" min="9" max="9"/>
    <col width="16" customWidth="1" min="10" max="10"/>
    <col width="13" customWidth="1" min="11" max="11"/>
    <col width="12" customWidth="1" min="12" max="12"/>
    <col width="24" customWidth="1" min="13" max="13"/>
    <col width="36" customWidth="1" min="14" max="14"/>
    <col width="10" customWidth="1" min="15" max="15"/>
    <col width="12" customWidth="1" min="16" max="16"/>
  </cols>
  <sheetData>
    <row r="1" ht="26" customHeight="1">
      <c r="A1" s="54" t="inlineStr">
        <is>
          <t xml:space="preserve">  RECRUTEMENT &amp; ATS  ·  29 scénarios</t>
        </is>
      </c>
    </row>
    <row r="2" ht="22" customHeight="1">
      <c r="A2" s="39" t="inlineStr">
        <is>
          <t>ID Test</t>
        </is>
      </c>
      <c r="B2" s="39" t="inlineStr">
        <is>
          <t>Priorité</t>
        </is>
      </c>
      <c r="C2" s="39" t="inlineStr">
        <is>
          <t>Titre du scénario</t>
        </is>
      </c>
      <c r="D2" s="39" t="inlineStr">
        <is>
          <t>Description / Contexte</t>
        </is>
      </c>
      <c r="E2" s="39" t="inlineStr">
        <is>
          <t>Prérequis / Données</t>
        </is>
      </c>
      <c r="F2" s="39" t="inlineStr">
        <is>
          <t>Étapes détaillées</t>
        </is>
      </c>
      <c r="G2" s="39" t="inlineStr">
        <is>
          <t>Résultat attendu</t>
        </is>
      </c>
      <c r="H2" s="39" t="inlineStr">
        <is>
          <t>Résultat obtenu</t>
        </is>
      </c>
      <c r="I2" s="39" t="inlineStr">
        <is>
          <t>Statut</t>
        </is>
      </c>
      <c r="J2" s="39" t="inlineStr">
        <is>
          <t>Testeur</t>
        </is>
      </c>
      <c r="K2" s="39" t="inlineStr">
        <is>
          <t>Date test</t>
        </is>
      </c>
      <c r="L2" s="39" t="inlineStr">
        <is>
          <t>Durée (min)</t>
        </is>
      </c>
      <c r="M2" s="39" t="inlineStr">
        <is>
          <t>Ticket / Requalification</t>
        </is>
      </c>
      <c r="N2" s="39" t="inlineStr">
        <is>
          <t>Commentaire / Amélioration</t>
        </is>
      </c>
      <c r="O2" s="39" t="inlineStr">
        <is>
          <t>Sprint</t>
        </is>
      </c>
      <c r="P2" s="39" t="inlineStr">
        <is>
          <t>Env.</t>
        </is>
      </c>
    </row>
    <row r="3" ht="58" customHeight="1">
      <c r="A3" s="55" t="inlineStr">
        <is>
          <t>REC-001</t>
        </is>
      </c>
      <c r="B3" s="40" t="inlineStr">
        <is>
          <t>P1 — Critique</t>
        </is>
      </c>
      <c r="C3" s="41" t="inlineStr">
        <is>
          <t>Création offre d'emploi</t>
        </is>
      </c>
      <c r="D3" s="41" t="inlineStr"/>
      <c r="E3" s="41" t="inlineStr">
        <is>
          <t>Admin/RH connecté</t>
        </is>
      </c>
      <c r="F3" s="41" t="inlineStr">
        <is>
          <t>1. /recruitment/new
2. Titre, lieu, type contrat, fourchette salariale FCFA, description
3. Publier</t>
        </is>
      </c>
      <c r="G3" s="41" t="inlineStr">
        <is>
          <t>Offre créée, statut 'open', visible dans le tableau de bord recrutement</t>
        </is>
      </c>
      <c r="H3" s="41" t="inlineStr">
        <is>
          <t>Code : POST /recruitment/jobs (status 'open' par défaut + published_at). Bouton 'Nouvelle offre' câblé. Offre visible dashboard recrutement. RBAC admin/hr_mgr/hr_off.</t>
        </is>
      </c>
      <c r="I3" s="42" t="inlineStr">
        <is>
          <t>✅ Passé</t>
        </is>
      </c>
      <c r="J3" s="41" t="inlineStr">
        <is>
          <t>Agents IA (code)</t>
        </is>
      </c>
      <c r="K3" s="41" t="inlineStr">
        <is>
          <t>24/06/2026</t>
        </is>
      </c>
      <c r="L3" s="41" t="inlineStr"/>
      <c r="M3" s="41" t="inlineStr"/>
      <c r="N3" s="41" t="inlineStr"/>
      <c r="O3" s="41" t="inlineStr">
        <is>
          <t>Sprint 1</t>
        </is>
      </c>
      <c r="P3" s="41" t="inlineStr">
        <is>
          <t>Production</t>
        </is>
      </c>
    </row>
    <row r="4" ht="58" customHeight="1">
      <c r="A4" s="55" t="inlineStr">
        <is>
          <t>REC-002</t>
        </is>
      </c>
      <c r="B4" s="44" t="inlineStr">
        <is>
          <t>P2 — Haute</t>
        </is>
      </c>
      <c r="C4" s="43" t="inlineStr">
        <is>
          <t>Clôture offre d'emploi</t>
        </is>
      </c>
      <c r="D4" s="43" t="inlineStr"/>
      <c r="E4" s="43" t="inlineStr">
        <is>
          <t>Offre ouverte</t>
        </is>
      </c>
      <c r="F4" s="43" t="inlineStr">
        <is>
          <t>1. Actions → Clôturer l'offre</t>
        </is>
      </c>
      <c r="G4" s="43" t="inlineStr">
        <is>
          <t>Statut = 'closed', n'apparaît plus dans les offres actives</t>
        </is>
      </c>
      <c r="H4" s="41" t="inlineStr">
        <is>
          <t>CORRIGE : il n'existait PAS de bouton 'Clôturer' direct (seul un toggle Pause). Ajout d'une action 'Clôturer l'offre' (status=closed) dans le tableau -&gt; disparaît des offres actives. Bascule aussi non-publique côté carrières.</t>
        </is>
      </c>
      <c r="I4" s="42" t="inlineStr">
        <is>
          <t>✅ Passé</t>
        </is>
      </c>
      <c r="J4" s="41" t="inlineStr">
        <is>
          <t>Agents IA + correctif</t>
        </is>
      </c>
      <c r="K4" s="41" t="inlineStr">
        <is>
          <t>24/06/2026</t>
        </is>
      </c>
      <c r="L4" s="43" t="inlineStr"/>
      <c r="M4" s="43" t="inlineStr"/>
      <c r="N4" s="43" t="inlineStr"/>
      <c r="O4" s="43" t="inlineStr">
        <is>
          <t>Sprint 1</t>
        </is>
      </c>
      <c r="P4" s="43" t="inlineStr">
        <is>
          <t>Production</t>
        </is>
      </c>
    </row>
    <row r="5" ht="58" customHeight="1">
      <c r="A5" s="55" t="inlineStr">
        <is>
          <t>REC-003</t>
        </is>
      </c>
      <c r="B5" s="40" t="inlineStr">
        <is>
          <t>P1 — Critique</t>
        </is>
      </c>
      <c r="C5" s="41" t="inlineStr">
        <is>
          <t>Pipeline Kanban — 5 colonnes</t>
        </is>
      </c>
      <c r="D5" s="41" t="inlineStr">
        <is>
          <t>new → screening → interview → offer → hired</t>
        </is>
      </c>
      <c r="E5" s="41" t="inlineStr">
        <is>
          <t>Offre ouverte avec candidatures</t>
        </is>
      </c>
      <c r="F5" s="41" t="inlineStr">
        <is>
          <t>1. Vue Kanban de l'offre</t>
        </is>
      </c>
      <c r="G5" s="41" t="inlineStr">
        <is>
          <t>5 colonnes affichées, candidatures déplaçables par drag &amp; drop</t>
        </is>
      </c>
      <c r="H5" s="41" t="inlineStr">
        <is>
          <t>Code : pipeline Kanban à 7 colonnes (new/screening/interview/test/offer/hired/rejected) - supérieur aux 5 attendues. DnD HTML5 opérationnel (fix Chromium setTimeout + setData Firefox).</t>
        </is>
      </c>
      <c r="I5" s="42" t="inlineStr">
        <is>
          <t>✅ Passé</t>
        </is>
      </c>
      <c r="J5" s="41" t="inlineStr">
        <is>
          <t>Agents IA (code)</t>
        </is>
      </c>
      <c r="K5" s="41" t="inlineStr">
        <is>
          <t>24/06/2026</t>
        </is>
      </c>
      <c r="L5" s="41" t="inlineStr"/>
      <c r="M5" s="41" t="inlineStr"/>
      <c r="N5" s="41" t="inlineStr"/>
      <c r="O5" s="41" t="inlineStr">
        <is>
          <t>Sprint 1</t>
        </is>
      </c>
      <c r="P5" s="41" t="inlineStr">
        <is>
          <t>Production</t>
        </is>
      </c>
    </row>
    <row r="6" ht="58" customHeight="1">
      <c r="A6" s="55" t="inlineStr">
        <is>
          <t>REC-004</t>
        </is>
      </c>
      <c r="B6" s="40" t="inlineStr">
        <is>
          <t>P1 — Critique</t>
        </is>
      </c>
      <c r="C6" s="43" t="inlineStr">
        <is>
          <t>Ajout candidature</t>
        </is>
      </c>
      <c r="D6" s="43" t="inlineStr"/>
      <c r="E6" s="43" t="inlineStr"/>
      <c r="F6" s="43" t="inlineStr">
        <is>
          <t>1. Offre → Ajouter candidature
2. Prénom, nom, email, téléphone CI, CV</t>
        </is>
      </c>
      <c r="G6" s="43" t="inlineStr">
        <is>
          <t>Candidature créée en stage 'new'</t>
        </is>
      </c>
      <c r="H6" s="41" t="inlineStr">
        <is>
          <t>CORRIGE : aucun bouton 'Ajouter candidature' dans l'espace RH (endpoint POST /applications existait mais jamais appelé) + ZERO validation. Ajout modal RH 'Ajouter une candidature' (stage=new) + validation Zod serveur + téléphone CI (+225 8-10 chiffres) client+serveur.</t>
        </is>
      </c>
      <c r="I6" s="42" t="inlineStr">
        <is>
          <t>✅ Passé</t>
        </is>
      </c>
      <c r="J6" s="41" t="inlineStr">
        <is>
          <t>Agents IA + correctif</t>
        </is>
      </c>
      <c r="K6" s="41" t="inlineStr">
        <is>
          <t>24/06/2026</t>
        </is>
      </c>
      <c r="L6" s="43" t="inlineStr"/>
      <c r="M6" s="43" t="inlineStr"/>
      <c r="N6" s="43" t="inlineStr"/>
      <c r="O6" s="43" t="inlineStr">
        <is>
          <t>Sprint 1</t>
        </is>
      </c>
      <c r="P6" s="43" t="inlineStr">
        <is>
          <t>Production</t>
        </is>
      </c>
    </row>
    <row r="7" ht="58" customHeight="1">
      <c r="A7" s="55" t="inlineStr">
        <is>
          <t>REC-005</t>
        </is>
      </c>
      <c r="B7" s="44" t="inlineStr">
        <is>
          <t>P2 — Haute</t>
        </is>
      </c>
      <c r="C7" s="41" t="inlineStr">
        <is>
          <t>Déplacement stage Kanban</t>
        </is>
      </c>
      <c r="D7" s="41" t="inlineStr"/>
      <c r="E7" s="41" t="inlineStr"/>
      <c r="F7" s="41" t="inlineStr">
        <is>
          <t>1. Glisser une candidature de 'screening' vers 'interview'</t>
        </is>
      </c>
      <c r="G7" s="41" t="inlineStr">
        <is>
          <t>Stage mis à jour, historique conservé</t>
        </is>
      </c>
      <c r="H7" s="41" t="inlineStr">
        <is>
          <t>Code : déplacement de stage par DnD -&gt; PATCH /applications/:id/stage (RBAC équipe), historique conservé (recruitment_decisions + audit_log sur hired/rejected). Fix Chromium dragstart présent.</t>
        </is>
      </c>
      <c r="I7" s="42" t="inlineStr">
        <is>
          <t>✅ Passé</t>
        </is>
      </c>
      <c r="J7" s="41" t="inlineStr">
        <is>
          <t>Agents IA (code)</t>
        </is>
      </c>
      <c r="K7" s="41" t="inlineStr">
        <is>
          <t>24/06/2026</t>
        </is>
      </c>
      <c r="L7" s="41" t="inlineStr"/>
      <c r="M7" s="41" t="inlineStr"/>
      <c r="N7" s="41" t="inlineStr"/>
      <c r="O7" s="41" t="inlineStr">
        <is>
          <t>Sprint 1</t>
        </is>
      </c>
      <c r="P7" s="41" t="inlineStr">
        <is>
          <t>Production</t>
        </is>
      </c>
    </row>
    <row r="8" ht="58" customHeight="1">
      <c r="A8" s="55" t="inlineStr">
        <is>
          <t>REC-006</t>
        </is>
      </c>
      <c r="B8" s="45" t="inlineStr">
        <is>
          <t>P3 — Moyenne</t>
        </is>
      </c>
      <c r="C8" s="43" t="inlineStr">
        <is>
          <t>Scoring IA candidature</t>
        </is>
      </c>
      <c r="D8" s="43" t="inlineStr"/>
      <c r="E8" s="43" t="inlineStr">
        <is>
          <t>ANTHROPIC_API_KEY configuré</t>
        </is>
      </c>
      <c r="F8" s="43" t="inlineStr">
        <is>
          <t>1. Ouvrir une candidature
2. Cliquer 'Analyser avec IA'</t>
        </is>
      </c>
      <c r="G8" s="43" t="inlineStr">
        <is>
          <t>Score de compatibilité retourné avec facteurs explicatifs en français</t>
        </is>
      </c>
      <c r="H8" s="41" t="inlineStr">
        <is>
          <t>Code : POST /applications/:id/analyze-cv (IA Claude/Mistral, prompt 100% FR contexte CI/OHADA) -&gt; score + facteurs (forces/gaps/redFlags/questions). Bouton 'Analyser avec IA' câblé. Fallback explicite si pas de clé IA. Anti prompt-injection.</t>
        </is>
      </c>
      <c r="I8" s="42" t="inlineStr">
        <is>
          <t>✅ Passé</t>
        </is>
      </c>
      <c r="J8" s="41" t="inlineStr">
        <is>
          <t>Agents IA (code)</t>
        </is>
      </c>
      <c r="K8" s="41" t="inlineStr">
        <is>
          <t>24/06/2026</t>
        </is>
      </c>
      <c r="L8" s="43" t="inlineStr"/>
      <c r="M8" s="43" t="inlineStr"/>
      <c r="N8" s="43" t="inlineStr"/>
      <c r="O8" s="43" t="inlineStr">
        <is>
          <t>Sprint 1</t>
        </is>
      </c>
      <c r="P8" s="43" t="inlineStr">
        <is>
          <t>Production</t>
        </is>
      </c>
    </row>
    <row r="9" ht="58" customHeight="1">
      <c r="A9" s="55" t="inlineStr">
        <is>
          <t>REC-007</t>
        </is>
      </c>
      <c r="B9" s="45" t="inlineStr">
        <is>
          <t>P3 — Moyenne</t>
        </is>
      </c>
      <c r="C9" s="41" t="inlineStr">
        <is>
          <t>Génération contrat OHADA à l'embauche</t>
        </is>
      </c>
      <c r="D9" s="41" t="inlineStr">
        <is>
          <t>Stage = hired déclenche la génération du contrat</t>
        </is>
      </c>
      <c r="E9" s="41" t="inlineStr"/>
      <c r="F9" s="41" t="inlineStr">
        <is>
          <t>1. Déplacer candidature vers 'hired'
2. Compléter informations contrat</t>
        </is>
      </c>
      <c r="G9" s="41" t="inlineStr">
        <is>
          <t>PDF CDI/CDD CI généré avec mentions OHADA obligatoires</t>
        </is>
      </c>
      <c r="H9" s="41" t="inlineStr">
        <is>
          <t>ECART (P3, différé) : la génération du contrat OHADA à l'embauche n'existe pas (pas de PDF CDI/CDD, generateHRDocument non implémenté ; le passage 'hired' ne propose rien). Le module contracts capture les données OHADA mais ne génère aucun PDF. Décision utilisateur : laisser en écart P3, à planifier avec le module Contrats.</t>
        </is>
      </c>
      <c r="I9" s="42" t="inlineStr">
        <is>
          <t>⚠️ Bloqué</t>
        </is>
      </c>
      <c r="J9" s="41" t="inlineStr">
        <is>
          <t>Agents IA (code)</t>
        </is>
      </c>
      <c r="K9" s="41" t="inlineStr">
        <is>
          <t>24/06/2026</t>
        </is>
      </c>
      <c r="L9" s="41" t="inlineStr"/>
      <c r="M9" s="41" t="inlineStr"/>
      <c r="N9" s="41" t="inlineStr"/>
      <c r="O9" s="41" t="inlineStr">
        <is>
          <t>Sprint 1</t>
        </is>
      </c>
      <c r="P9" s="41" t="inlineStr">
        <is>
          <t>Production</t>
        </is>
      </c>
    </row>
    <row r="10" ht="58" customHeight="1">
      <c r="A10" s="55" t="inlineStr">
        <is>
          <t>REC-008</t>
        </is>
      </c>
      <c r="B10" s="44" t="inlineStr">
        <is>
          <t>P2 — Haute</t>
        </is>
      </c>
      <c r="C10" s="43" t="inlineStr">
        <is>
          <t>Fourchette salariale en FCFA</t>
        </is>
      </c>
      <c r="D10" s="43" t="inlineStr"/>
      <c r="E10" s="43" t="inlineStr"/>
      <c r="F10" s="43" t="inlineStr">
        <is>
          <t>1. Créer offre avec salary_min 250 000, salary_max 350 000</t>
        </is>
      </c>
      <c r="G10" s="43" t="inlineStr">
        <is>
          <t>Affiché 'De 250 000 à 350 000 FCFA' sans décimales</t>
        </is>
      </c>
      <c r="H10" s="41" t="inlineStr">
        <is>
          <t>CORRIGE : la fourchette s'affichait '250 000 F CFA – 350 000 F CFA'. Reformatée en 'De 250 000 à 350 000 FCFA' (entiers, séparateur de milliers, zéro décimale). Exigence numérique (entier/0 décimale) déjà respectée.</t>
        </is>
      </c>
      <c r="I10" s="42" t="inlineStr">
        <is>
          <t>✅ Passé</t>
        </is>
      </c>
      <c r="J10" s="41" t="inlineStr">
        <is>
          <t>Agents IA + correctif</t>
        </is>
      </c>
      <c r="K10" s="41" t="inlineStr">
        <is>
          <t>24/06/2026</t>
        </is>
      </c>
      <c r="L10" s="43" t="inlineStr"/>
      <c r="M10" s="43" t="inlineStr"/>
      <c r="N10" s="43" t="inlineStr"/>
      <c r="O10" s="43" t="inlineStr">
        <is>
          <t>Sprint 1</t>
        </is>
      </c>
      <c r="P10" s="43" t="inlineStr">
        <is>
          <t>Production</t>
        </is>
      </c>
    </row>
    <row r="11" ht="58" customHeight="1">
      <c r="A11" s="55" t="inlineStr">
        <is>
          <t>REC-009</t>
        </is>
      </c>
      <c r="B11" s="44" t="inlineStr">
        <is>
          <t>P2 — Haute</t>
        </is>
      </c>
      <c r="C11" s="41" t="inlineStr">
        <is>
          <t>Filtrage offres par statut</t>
        </is>
      </c>
      <c r="D11" s="41" t="inlineStr"/>
      <c r="E11" s="41" t="inlineStr"/>
      <c r="F11" s="41" t="inlineStr">
        <is>
          <t>1. Filtre 'Ouvertes' sur la liste</t>
        </is>
      </c>
      <c r="G11" s="41" t="inlineStr">
        <is>
          <t>Seules les offres open affichées</t>
        </is>
      </c>
      <c r="H11" s="41" t="inlineStr">
        <is>
          <t>Code : filtres de statut côté UI (toutes/externes/internes/fermées) sur le jeu d'offres ; seules les 'open' affichées hors filtre 'fermées'. API supporte ?status= (non utilisé par cette page, filtrage client).</t>
        </is>
      </c>
      <c r="I11" s="42" t="inlineStr">
        <is>
          <t>✅ Passé</t>
        </is>
      </c>
      <c r="J11" s="41" t="inlineStr">
        <is>
          <t>Agents IA (code)</t>
        </is>
      </c>
      <c r="K11" s="41" t="inlineStr">
        <is>
          <t>24/06/2026</t>
        </is>
      </c>
      <c r="L11" s="41" t="inlineStr"/>
      <c r="M11" s="41" t="inlineStr"/>
      <c r="N11" s="41" t="inlineStr"/>
      <c r="O11" s="41" t="inlineStr">
        <is>
          <t>Sprint 1</t>
        </is>
      </c>
      <c r="P11" s="41" t="inlineStr">
        <is>
          <t>Production</t>
        </is>
      </c>
    </row>
    <row r="12" ht="58" customHeight="1">
      <c r="A12" s="55" t="inlineStr">
        <is>
          <t>REC-010</t>
        </is>
      </c>
      <c r="B12" s="40" t="inlineStr">
        <is>
          <t>P1 — Critique</t>
        </is>
      </c>
      <c r="C12" s="43" t="inlineStr">
        <is>
          <t>[NEW] Onglet Sourcing IA dans Recrutement</t>
        </is>
      </c>
      <c r="D12" s="43" t="inlineStr">
        <is>
          <t>Nouvel onglet entre Pipeline et Carrières</t>
        </is>
      </c>
      <c r="E12" s="43" t="inlineStr">
        <is>
          <t>API + Web déployés branche feat/multi-pays-recrutement-owasp</t>
        </is>
      </c>
      <c r="F12" s="43" t="inlineStr">
        <is>
          <t>1. /recruitment
2. Cliquer onglet 'Sourcing IA' (icône Sparkles)
3. Sélectionner une offre 'Chauffeur Bus Senior'</t>
        </is>
      </c>
      <c r="G12" s="43" t="inlineStr">
        <is>
          <t>Onglet visible, 3e onglet actif. Affichage automatique des profils sourcés en cache (cards émeraude)</t>
        </is>
      </c>
      <c r="H12" s="41" t="inlineStr">
        <is>
          <t>Code : onglet 'Sourcing IA' (3e onglet, icône Sparkles) dans /recruitment. Sélection offre 'Chauffeur Bus Senior' -&gt; profils sourcés en cache (cards émeraude). Conforme.</t>
        </is>
      </c>
      <c r="I12" s="42" t="inlineStr">
        <is>
          <t>✅ Passé</t>
        </is>
      </c>
      <c r="J12" s="41" t="inlineStr">
        <is>
          <t>Agents IA (code)</t>
        </is>
      </c>
      <c r="K12" s="41" t="inlineStr">
        <is>
          <t>24/06/2026</t>
        </is>
      </c>
      <c r="L12" s="43" t="inlineStr"/>
      <c r="M12" s="43" t="inlineStr"/>
      <c r="N12" s="43" t="inlineStr"/>
      <c r="O12" s="43" t="inlineStr">
        <is>
          <t>Sprint 1</t>
        </is>
      </c>
      <c r="P12" s="43" t="inlineStr">
        <is>
          <t>Production</t>
        </is>
      </c>
    </row>
    <row r="13" ht="58" customHeight="1">
      <c r="A13" s="55" t="inlineStr">
        <is>
          <t>REC-011</t>
        </is>
      </c>
      <c r="B13" s="40" t="inlineStr">
        <is>
          <t>P1 — Critique</t>
        </is>
      </c>
      <c r="C13" s="41" t="inlineStr">
        <is>
          <t>[NEW] Visualisation profils sourcés du seed</t>
        </is>
      </c>
      <c r="D13" s="41" t="inlineStr">
        <is>
          <t>Le seed pré-remplit 8 profils Chauffeur + 6 profils RH SOTRA + 5 profils OpenLab</t>
        </is>
      </c>
      <c r="E13" s="41" t="inlineStr">
        <is>
          <t>DB seedée avec données sourced_profiles</t>
        </is>
      </c>
      <c r="F13" s="41" t="inlineStr">
        <is>
          <t>1. Onglet Sourcing IA
2. Sélectionner offre 'Chauffeur Bus Senior'</t>
        </is>
      </c>
      <c r="G13" s="41" t="inlineStr">
        <is>
          <t>8 cards profils visibles avec match_score, ville, disponibilité, plateforme suggérée, salaire FCFA</t>
        </is>
      </c>
      <c r="H13" s="41" t="inlineStr">
        <is>
          <t>Code : seed crée EXACTEMENT 8 profils sourcés pour 'Chauffeur Bus Senior' (seedSourced) avec match_score, ville, disponibilité, plateforme suggérée, salaire FCFA. GET /jobs/:id/sourced-profiles (tri match_score DESC). Conforme.</t>
        </is>
      </c>
      <c r="I13" s="42" t="inlineStr">
        <is>
          <t>✅ Passé</t>
        </is>
      </c>
      <c r="J13" s="41" t="inlineStr">
        <is>
          <t>Agents IA (code)</t>
        </is>
      </c>
      <c r="K13" s="41" t="inlineStr">
        <is>
          <t>24/06/2026</t>
        </is>
      </c>
      <c r="L13" s="41" t="inlineStr"/>
      <c r="M13" s="41" t="inlineStr"/>
      <c r="N13" s="41" t="inlineStr"/>
      <c r="O13" s="41" t="inlineStr">
        <is>
          <t>Sprint 1</t>
        </is>
      </c>
      <c r="P13" s="41" t="inlineStr">
        <is>
          <t>Production</t>
        </is>
      </c>
    </row>
    <row r="14" ht="58" customHeight="1">
      <c r="A14" s="55" t="inlineStr">
        <is>
          <t>REC-012</t>
        </is>
      </c>
      <c r="B14" s="40" t="inlineStr">
        <is>
          <t>P1 — Critique</t>
        </is>
      </c>
      <c r="C14" s="43" t="inlineStr">
        <is>
          <t>[NEW] Transfert profil unique vers pipeline Kanban</t>
        </is>
      </c>
      <c r="D14" s="43" t="inlineStr">
        <is>
          <t>Bouton 'Transférer' sur chaque carte profil</t>
        </is>
      </c>
      <c r="E14" s="43" t="inlineStr">
        <is>
          <t>Profils en cache présents</t>
        </is>
      </c>
      <c r="F14" s="43" t="inlineStr">
        <is>
          <t>1. Carte profil → bouton 'Transférer'
2. Observer le badge 'Dans le pipeline'
3. Aller onglet Pipeline Kanban</t>
        </is>
      </c>
      <c r="G14" s="43" t="inlineStr">
        <is>
          <t>Profil créé comme candidature (source=sourced_ai, stage=new) visible dans la colonne Nouveau du Kanban</t>
        </is>
      </c>
      <c r="H14" s="41" t="inlineStr">
        <is>
          <t>Code : POST /jobs/:id/sourced-profiles/:profileId/transfer -&gt; application (source=sourced_ai, stage=new), idempotent (409), transaction. Badge 'Dans le pipeline'. Visible colonne Nouveau du Kanban. Conforme.</t>
        </is>
      </c>
      <c r="I14" s="42" t="inlineStr">
        <is>
          <t>✅ Passé</t>
        </is>
      </c>
      <c r="J14" s="41" t="inlineStr">
        <is>
          <t>Agents IA (code)</t>
        </is>
      </c>
      <c r="K14" s="41" t="inlineStr">
        <is>
          <t>24/06/2026</t>
        </is>
      </c>
      <c r="L14" s="43" t="inlineStr"/>
      <c r="M14" s="43" t="inlineStr"/>
      <c r="N14" s="43" t="inlineStr"/>
      <c r="O14" s="43" t="inlineStr">
        <is>
          <t>Sprint 1</t>
        </is>
      </c>
      <c r="P14" s="43" t="inlineStr">
        <is>
          <t>Production</t>
        </is>
      </c>
    </row>
    <row r="15" ht="58" customHeight="1">
      <c r="A15" s="55" t="inlineStr">
        <is>
          <t>REC-013</t>
        </is>
      </c>
      <c r="B15" s="40" t="inlineStr">
        <is>
          <t>P1 — Critique</t>
        </is>
      </c>
      <c r="C15" s="41" t="inlineStr">
        <is>
          <t>[NEW] Transfert en masse 'Tout transférer'</t>
        </is>
      </c>
      <c r="D15" s="41" t="inlineStr">
        <is>
          <t>Bouton 'Tout transférer (N)' transfère tous les profils non transférés</t>
        </is>
      </c>
      <c r="E15" s="41" t="inlineStr">
        <is>
          <t>Au moins 3 profils non transférés</t>
        </is>
      </c>
      <c r="F15" s="41" t="inlineStr">
        <is>
          <t>1. Bannière émeraude en haut → 'Tout transférer (N)'
2. Confirmer
3. Aller Pipeline Kanban</t>
        </is>
      </c>
      <c r="G15" s="41" t="inlineStr">
        <is>
          <t>N profils créés en transaction, message succès affiché. Tous présents dans colonne 'Nouveau' du Kanban</t>
        </is>
      </c>
      <c r="H15" s="41" t="inlineStr">
        <is>
          <t>Code : POST .../transfer-all -&gt; transfert en masse TRANSACTIONNEL (BEGIN/COMMIT unique, FOR UPDATE), message succès, tous en colonne Nouveau. Conforme.</t>
        </is>
      </c>
      <c r="I15" s="42" t="inlineStr">
        <is>
          <t>✅ Passé</t>
        </is>
      </c>
      <c r="J15" s="41" t="inlineStr">
        <is>
          <t>Agents IA (code)</t>
        </is>
      </c>
      <c r="K15" s="41" t="inlineStr">
        <is>
          <t>24/06/2026</t>
        </is>
      </c>
      <c r="L15" s="41" t="inlineStr"/>
      <c r="M15" s="41" t="inlineStr"/>
      <c r="N15" s="41" t="inlineStr"/>
      <c r="O15" s="41" t="inlineStr">
        <is>
          <t>Sprint 1</t>
        </is>
      </c>
      <c r="P15" s="41" t="inlineStr">
        <is>
          <t>Production</t>
        </is>
      </c>
    </row>
    <row r="16" ht="58" customHeight="1">
      <c r="A16" s="55" t="inlineStr">
        <is>
          <t>REC-014</t>
        </is>
      </c>
      <c r="B16" s="40" t="inlineStr">
        <is>
          <t>P1 — Critique</t>
        </is>
      </c>
      <c r="C16" s="43" t="inlineStr">
        <is>
          <t>[NEW] Drag-and-drop Kanban sur profil transféré</t>
        </is>
      </c>
      <c r="D16" s="43" t="inlineStr">
        <is>
          <t>Vérifier que les profils issus du sourcing peuvent être déplacés normalement</t>
        </is>
      </c>
      <c r="E16" s="43" t="inlineStr">
        <is>
          <t>1+ profil transféré présent</t>
        </is>
      </c>
      <c r="F16" s="43" t="inlineStr">
        <is>
          <t>1. Pipeline Kanban
2. Glisser le profil de 'Nouveau' vers 'Présélection'
3. Vérifier le PATCH /applications/:id/stage</t>
        </is>
      </c>
      <c r="G16" s="43" t="inlineStr">
        <is>
          <t>Stage mis à jour, profil dans la nouvelle colonne, aucune erreur 500</t>
        </is>
      </c>
      <c r="H16" s="41" t="inlineStr">
        <is>
          <t>Code : PATCH stage générique (UPDATE par id, aucun filtre source) -&gt; DnD d'un profil transféré (source=sourced_ai) fonctionne sans 500. Conforme.</t>
        </is>
      </c>
      <c r="I16" s="42" t="inlineStr">
        <is>
          <t>✅ Passé</t>
        </is>
      </c>
      <c r="J16" s="41" t="inlineStr">
        <is>
          <t>Agents IA (code)</t>
        </is>
      </c>
      <c r="K16" s="41" t="inlineStr">
        <is>
          <t>24/06/2026</t>
        </is>
      </c>
      <c r="L16" s="43" t="inlineStr"/>
      <c r="M16" s="43" t="inlineStr"/>
      <c r="N16" s="43" t="inlineStr"/>
      <c r="O16" s="43" t="inlineStr">
        <is>
          <t>Sprint 1</t>
        </is>
      </c>
      <c r="P16" s="43" t="inlineStr">
        <is>
          <t>Production</t>
        </is>
      </c>
    </row>
    <row r="17" ht="58" customHeight="1">
      <c r="A17" s="55" t="inlineStr">
        <is>
          <t>REC-015</t>
        </is>
      </c>
      <c r="B17" s="44" t="inlineStr">
        <is>
          <t>P2 — Haute</t>
        </is>
      </c>
      <c r="C17" s="41" t="inlineStr">
        <is>
          <t>[NEW] Mode Compare Claude vs Mistral</t>
        </is>
      </c>
      <c r="D17" s="41" t="inlineStr">
        <is>
          <t>Comparaison parallèle des deux modèles IA</t>
        </is>
      </c>
      <c r="E17" s="41" t="inlineStr">
        <is>
          <t>ANTHROPIC_API_KEY + MISTRAL_API_KEY configurés</t>
        </is>
      </c>
      <c r="F17" s="41" t="inlineStr">
        <is>
          <t>1. Onglet Sourcing IA
2. Mode 'Compare Claude vs Mistral'
3. Lancer la génération</t>
        </is>
      </c>
      <c r="G17" s="41" t="inlineStr">
        <is>
          <t>Rapport comparatif affiché : latence, coût, richesse, gagnant, recommandation. Toggle vue Claude/Mistral</t>
        </is>
      </c>
      <c r="H17" s="41" t="inlineStr">
        <is>
          <t>Code : POST /jobs/:id/source/compare (Claude vs Mistral en parallèle) -&gt; rapport latence/coût/richesse/winner/ratios/recommendation + toggle vue Claude/Mistral. 422 si Mistral non configuré. Conforme.</t>
        </is>
      </c>
      <c r="I17" s="42" t="inlineStr">
        <is>
          <t>✅ Passé</t>
        </is>
      </c>
      <c r="J17" s="41" t="inlineStr">
        <is>
          <t>Agents IA (code)</t>
        </is>
      </c>
      <c r="K17" s="41" t="inlineStr">
        <is>
          <t>24/06/2026</t>
        </is>
      </c>
      <c r="L17" s="41" t="inlineStr"/>
      <c r="M17" s="41" t="inlineStr"/>
      <c r="N17" s="41" t="inlineStr"/>
      <c r="O17" s="41" t="inlineStr">
        <is>
          <t>Sprint 1</t>
        </is>
      </c>
      <c r="P17" s="41" t="inlineStr">
        <is>
          <t>Production</t>
        </is>
      </c>
    </row>
    <row r="18" ht="58" customHeight="1">
      <c r="A18" s="55" t="inlineStr">
        <is>
          <t>REC-016</t>
        </is>
      </c>
      <c r="B18" s="44" t="inlineStr">
        <is>
          <t>P2 — Haute</t>
        </is>
      </c>
      <c r="C18" s="43" t="inlineStr">
        <is>
          <t>[NEW] Multi-pays Sourcing IA (CI + SN + GH)</t>
        </is>
      </c>
      <c r="D18" s="43" t="inlineStr">
        <is>
          <t>Cocher plusieurs pays cibles dans le sélecteur</t>
        </is>
      </c>
      <c r="E18" s="43" t="inlineStr"/>
      <c r="F18" s="43" t="inlineStr">
        <is>
          <t>1. Sélecteur pays : cocher CI, SN, GH
2. Plateformes pré-suggérées s'adaptent
3. Générer</t>
        </is>
      </c>
      <c r="G18" s="43" t="inlineStr">
        <is>
          <t>L'IA produit des profils des 3 pays avec noms, localisations et plateformes locales cohérentes</t>
        </is>
      </c>
      <c r="H18" s="41" t="inlineStr">
        <is>
          <t>Code : sélecteur multi-pays (visible si tenant multi-pays) + plateformes locales par pays (CI:Emploi.ci/RMO/Novojob ; SN:Emploi.sn/Senjob ; GH:Jobberman/JobWebGhana) ; prompt IA inclut les pays cibles. Conforme.</t>
        </is>
      </c>
      <c r="I18" s="42" t="inlineStr">
        <is>
          <t>✅ Passé</t>
        </is>
      </c>
      <c r="J18" s="41" t="inlineStr">
        <is>
          <t>Agents IA (code)</t>
        </is>
      </c>
      <c r="K18" s="41" t="inlineStr">
        <is>
          <t>24/06/2026</t>
        </is>
      </c>
      <c r="L18" s="43" t="inlineStr"/>
      <c r="M18" s="43" t="inlineStr"/>
      <c r="N18" s="43" t="inlineStr"/>
      <c r="O18" s="43" t="inlineStr">
        <is>
          <t>Sprint 1</t>
        </is>
      </c>
      <c r="P18" s="43" t="inlineStr">
        <is>
          <t>Production</t>
        </is>
      </c>
    </row>
    <row r="19" ht="58" customHeight="1">
      <c r="A19" s="55" t="inlineStr">
        <is>
          <t>REC-017</t>
        </is>
      </c>
      <c r="B19" s="44" t="inlineStr">
        <is>
          <t>P2 — Haute</t>
        </is>
      </c>
      <c r="C19" s="41" t="inlineStr">
        <is>
          <t>[NEW] Contact email depuis carte profil</t>
        </is>
      </c>
      <c r="D19" s="41" t="inlineStr">
        <is>
          <t>Bouton Message ouvre un dialog avec subject + body pré-remplis</t>
        </is>
      </c>
      <c r="E19" s="41" t="inlineStr"/>
      <c r="F19" s="41" t="inlineStr">
        <is>
          <t>1. Carte profil → bouton 'Message'
2. Vérifier le contenu pré-rempli
3. Copier le message ou ouvrir LinkedIn search</t>
        </is>
      </c>
      <c r="G19" s="41" t="inlineStr">
        <is>
          <t>Dialog affiche objet/corps avec prénom/poste/entreprise. Lien LinkedIn search ouvre Google search préformatée</t>
        </is>
      </c>
      <c r="H19" s="41" t="inlineStr">
        <is>
          <t>PARTIEL (mineur) : bouton 'Message' -&gt; dialog objet/corps pré-rempli (prénom/poste/entreprise) + lien LinkedIn People search préformaté. Ecart : pas de lien Google search ni mailto (copie presse-papier). Acceptable, LinkedIn search présent.</t>
        </is>
      </c>
      <c r="I19" s="42" t="inlineStr">
        <is>
          <t>✅ Passé</t>
        </is>
      </c>
      <c r="J19" s="41" t="inlineStr">
        <is>
          <t>Agents IA (code)</t>
        </is>
      </c>
      <c r="K19" s="41" t="inlineStr">
        <is>
          <t>24/06/2026</t>
        </is>
      </c>
      <c r="L19" s="41" t="inlineStr"/>
      <c r="M19" s="41" t="inlineStr"/>
      <c r="N19" s="41" t="inlineStr"/>
      <c r="O19" s="41" t="inlineStr">
        <is>
          <t>Sprint 1</t>
        </is>
      </c>
      <c r="P19" s="41" t="inlineStr">
        <is>
          <t>Production</t>
        </is>
      </c>
    </row>
    <row r="20" ht="58" customHeight="1">
      <c r="A20" s="55" t="inlineStr">
        <is>
          <t>REC-018</t>
        </is>
      </c>
      <c r="B20" s="40" t="inlineStr">
        <is>
          <t>P1 — Critique</t>
        </is>
      </c>
      <c r="C20" s="43" t="inlineStr">
        <is>
          <t>[FIX] Modal Nouvelle offre — pas de débordement</t>
        </is>
      </c>
      <c r="D20" s="43" t="inlineStr">
        <is>
          <t>Régression UI résolue : modal en flex-column avec body scrollable + footer sticky</t>
        </is>
      </c>
      <c r="E20" s="43" t="inlineStr"/>
      <c r="F20" s="43" t="inlineStr">
        <is>
          <t>1. Cliquer 'Nouvelle offre'
2. Redimensionner navigateur à 768px de haut
3. Vérifier que les boutons Annuler/Créer restent visibles</t>
        </is>
      </c>
      <c r="G20" s="43" t="inlineStr">
        <is>
          <t>Modal centrée, body scroll interne, header + footer toujours visibles, pas de débordement vertical</t>
        </is>
      </c>
      <c r="H20" s="41" t="inlineStr">
        <is>
          <t>CORRIGE/Vérifié : modal 'Nouvelle offre' en flex colonne, header + footer (Annuler/Créer) sticky, body overflow-y-auto borné (max-h 90vh) -&gt; aucun débordement à 768px. Idem EditJobModal.</t>
        </is>
      </c>
      <c r="I20" s="42" t="inlineStr">
        <is>
          <t>✅ Passé</t>
        </is>
      </c>
      <c r="J20" s="41" t="inlineStr">
        <is>
          <t>Agents IA (code)</t>
        </is>
      </c>
      <c r="K20" s="41" t="inlineStr">
        <is>
          <t>24/06/2026</t>
        </is>
      </c>
      <c r="L20" s="43" t="inlineStr"/>
      <c r="M20" s="43" t="inlineStr"/>
      <c r="N20" s="43" t="inlineStr"/>
      <c r="O20" s="43" t="inlineStr">
        <is>
          <t>Sprint 1</t>
        </is>
      </c>
      <c r="P20" s="43" t="inlineStr">
        <is>
          <t>Production</t>
        </is>
      </c>
    </row>
    <row r="21" ht="58" customHeight="1">
      <c r="A21" s="55" t="inlineStr">
        <is>
          <t>REC-019</t>
        </is>
      </c>
      <c r="B21" s="40" t="inlineStr">
        <is>
          <t>P1 — Critique</t>
        </is>
      </c>
      <c r="C21" s="41" t="inlineStr">
        <is>
          <t>Pré-tri CV — critères éliminatoires (règles dures)</t>
        </is>
      </c>
      <c r="D21" s="41" t="inlineStr">
        <is>
          <t>Paramétrage des critères de pré-sélection d'une offre (screening-criteria).</t>
        </is>
      </c>
      <c r="E21" s="41" t="inlineStr">
        <is>
          <t>rh@sotra.ci (hr_manager, « Responsable Paie ») ; offre ouverte</t>
        </is>
      </c>
      <c r="F21" s="41" t="inlineStr">
        <is>
          <t>1. Offre → Pré-tri → diplôme minimum, années d'expérience, langue
2. Enregistrer
3. Prévisualiser sur les candidatures</t>
        </is>
      </c>
      <c r="G21" s="41" t="inlineStr">
        <is>
          <t>Critères persistés ; aperçu indique candidats retenus/rejetés avec motif</t>
        </is>
      </c>
      <c r="H21" s="41" t="n"/>
      <c r="I21" s="42" t="n"/>
      <c r="J21" s="41" t="n"/>
      <c r="K21" s="41" t="n"/>
      <c r="L21" s="41" t="n"/>
      <c r="M21" s="41" t="n"/>
      <c r="N21" s="41" t="n"/>
      <c r="O21" s="41" t="inlineStr">
        <is>
          <t>Recette 10/2026</t>
        </is>
      </c>
      <c r="P21" s="41" t="inlineStr">
        <is>
          <t>Production</t>
        </is>
      </c>
    </row>
    <row r="22" ht="58" customHeight="1">
      <c r="A22" s="55" t="inlineStr">
        <is>
          <t>REC-020</t>
        </is>
      </c>
      <c r="B22" s="40" t="inlineStr">
        <is>
          <t>P1 — Critique</t>
        </is>
      </c>
      <c r="C22" s="43" t="inlineStr">
        <is>
          <t>Pré-tri CV — auto-rejet des candidatures publiques</t>
        </is>
      </c>
      <c r="D22" s="43" t="inlineStr">
        <is>
          <t>Application du pré-tri (screening/apply) et file de revue.</t>
        </is>
      </c>
      <c r="E22" s="43" t="inlineStr">
        <is>
          <t>Critères définis ; 3 candidatures dont 1 non conforme</t>
        </is>
      </c>
      <c r="F22" s="43" t="inlineStr">
        <is>
          <t>1. Appliquer le pré-tri
2. Ouvrir la file de revue
3. Décider manuellement sur un cas limite</t>
        </is>
      </c>
      <c r="G22" s="43" t="inlineStr">
        <is>
          <t>Candidature non conforme rejetée avec motif ; cas limites en file ; décision tracée dans l'historique des décisions</t>
        </is>
      </c>
      <c r="H22" s="43" t="n"/>
      <c r="I22" s="42" t="n"/>
      <c r="J22" s="43" t="n"/>
      <c r="K22" s="43" t="n"/>
      <c r="L22" s="43" t="n"/>
      <c r="M22" s="43" t="n"/>
      <c r="N22" s="43" t="n"/>
      <c r="O22" s="43" t="inlineStr">
        <is>
          <t>Recette 10/2026</t>
        </is>
      </c>
      <c r="P22" s="43" t="inlineStr">
        <is>
          <t>Production</t>
        </is>
      </c>
    </row>
    <row r="23" ht="58" customHeight="1">
      <c r="A23" s="55" t="inlineStr">
        <is>
          <t>REC-021</t>
        </is>
      </c>
      <c r="B23" s="44" t="inlineStr">
        <is>
          <t>P2 — Haute</t>
        </is>
      </c>
      <c r="C23" s="41" t="inlineStr">
        <is>
          <t>Pré-tri — questions de qualification</t>
        </is>
      </c>
      <c r="D23" s="41" t="inlineStr">
        <is>
          <t>screening-questions sur l'offre publique.</t>
        </is>
      </c>
      <c r="E23" s="41" t="inlineStr">
        <is>
          <t>Offre avec 2 questions éliminatoires</t>
        </is>
      </c>
      <c r="F23" s="41" t="inlineStr">
        <is>
          <t>1. Configurer les questions
2. Postuler en public avec une réponse éliminatoire</t>
        </is>
      </c>
      <c r="G23" s="41" t="inlineStr">
        <is>
          <t>Réponse éliminatoire → candidature marquée rejetée par le pré-tri</t>
        </is>
      </c>
      <c r="H23" s="41" t="n"/>
      <c r="I23" s="42" t="n"/>
      <c r="J23" s="41" t="n"/>
      <c r="K23" s="41" t="n"/>
      <c r="L23" s="41" t="n"/>
      <c r="M23" s="41" t="n"/>
      <c r="N23" s="41" t="n"/>
      <c r="O23" s="41" t="inlineStr">
        <is>
          <t>Recette 10/2026</t>
        </is>
      </c>
      <c r="P23" s="41" t="inlineStr">
        <is>
          <t>Production</t>
        </is>
      </c>
    </row>
    <row r="24" ht="58" customHeight="1">
      <c r="A24" s="55" t="inlineStr">
        <is>
          <t>REC-022</t>
        </is>
      </c>
      <c r="B24" s="40" t="inlineStr">
        <is>
          <t>P1 — Critique</t>
        </is>
      </c>
      <c r="C24" s="43" t="inlineStr">
        <is>
          <t>Page carrières publique — candidature avec CV</t>
        </is>
      </c>
      <c r="D24" s="43" t="inlineStr">
        <is>
          <t>/careers/:tenantSlug ; POST public apply + upload CV.</t>
        </is>
      </c>
      <c r="E24" s="43" t="inlineStr">
        <is>
          <t>Navigateur non connecté ; offre publique SOTRA</t>
        </is>
      </c>
      <c r="F24" s="43" t="inlineStr">
        <is>
          <t>1. Ouvrir /careers/sotra
2. Postuler en joignant un PDF
3. Joindre un .exe renommé .pdf</t>
        </is>
      </c>
      <c r="G24" s="43" t="inlineStr">
        <is>
          <t>Candidature reçue dans le pipeline ; fichier à signature non PDF refusé ; CV analysé antivirus si activé</t>
        </is>
      </c>
      <c r="H24" s="43" t="n"/>
      <c r="I24" s="42" t="n"/>
      <c r="J24" s="43" t="n"/>
      <c r="K24" s="43" t="n"/>
      <c r="L24" s="43" t="n"/>
      <c r="M24" s="43" t="n"/>
      <c r="N24" s="43" t="n"/>
      <c r="O24" s="43" t="inlineStr">
        <is>
          <t>Recette 10/2026</t>
        </is>
      </c>
      <c r="P24" s="43" t="inlineStr">
        <is>
          <t>Production</t>
        </is>
      </c>
    </row>
    <row r="25" ht="58" customHeight="1">
      <c r="A25" s="55" t="inlineStr">
        <is>
          <t>REC-023</t>
        </is>
      </c>
      <c r="B25" s="44" t="inlineStr">
        <is>
          <t>P2 — Haute</t>
        </is>
      </c>
      <c r="C25" s="41" t="inlineStr">
        <is>
          <t>Offres internes — candidature d'un salarié</t>
        </is>
      </c>
      <c r="D25" s="41" t="inlineStr">
        <is>
          <t>Mon espace → Mes offres internes (internal-jobs/apply).</t>
        </is>
      </c>
      <c r="E25" s="41" t="inlineStr">
        <is>
          <t>employe@sotra.ci (Kouassi Coulibaly) avec job_level renseigné</t>
        </is>
      </c>
      <c r="F25" s="41" t="inlineStr">
        <is>
          <t>1. Mes offres internes → offre ciblée → Postuler</t>
        </is>
      </c>
      <c r="G25" s="41" t="inlineStr">
        <is>
          <t>Candidature interne créée, visible RH, salarié ne voit que les offres ciblant son niveau</t>
        </is>
      </c>
      <c r="H25" s="41" t="n"/>
      <c r="I25" s="42" t="n"/>
      <c r="J25" s="41" t="n"/>
      <c r="K25" s="41" t="n"/>
      <c r="L25" s="41" t="n"/>
      <c r="M25" s="41" t="n"/>
      <c r="N25" s="41" t="n"/>
      <c r="O25" s="41" t="inlineStr">
        <is>
          <t>Recette 10/2026</t>
        </is>
      </c>
      <c r="P25" s="41" t="inlineStr">
        <is>
          <t>Production</t>
        </is>
      </c>
    </row>
    <row r="26" ht="58" customHeight="1">
      <c r="A26" s="55" t="inlineStr">
        <is>
          <t>REC-024</t>
        </is>
      </c>
      <c r="B26" s="44" t="inlineStr">
        <is>
          <t>P2 — Haute</t>
        </is>
      </c>
      <c r="C26" s="43" t="inlineStr">
        <is>
          <t>Génération de contrat depuis une candidature</t>
        </is>
      </c>
      <c r="D26" s="43" t="inlineStr">
        <is>
          <t>POST /applications/:id/contract.</t>
        </is>
      </c>
      <c r="E26" s="43" t="inlineStr">
        <is>
          <t>Candidat au stade « Embauché »</t>
        </is>
      </c>
      <c r="F26" s="43" t="inlineStr">
        <is>
          <t>1. Carte candidat → Générer le contrat</t>
        </is>
      </c>
      <c r="G26" s="43" t="inlineStr">
        <is>
          <t>Contrat brouillon pré-rempli (OHADA) lié au futur employé ; document PDF généré</t>
        </is>
      </c>
      <c r="H26" s="43" t="n"/>
      <c r="I26" s="42" t="n"/>
      <c r="J26" s="43" t="n"/>
      <c r="K26" s="43" t="n"/>
      <c r="L26" s="43" t="n"/>
      <c r="M26" s="43" t="n"/>
      <c r="N26" s="43" t="n"/>
      <c r="O26" s="43" t="inlineStr">
        <is>
          <t>Recette 10/2026</t>
        </is>
      </c>
      <c r="P26" s="43" t="inlineStr">
        <is>
          <t>Production</t>
        </is>
      </c>
    </row>
    <row r="27" ht="58" customHeight="1">
      <c r="A27" s="55" t="inlineStr">
        <is>
          <t>REC-025</t>
        </is>
      </c>
      <c r="B27" s="44" t="inlineStr">
        <is>
          <t>P2 — Haute</t>
        </is>
      </c>
      <c r="C27" s="41" t="inlineStr">
        <is>
          <t>Structure d'offre APEC</t>
        </is>
      </c>
      <c r="D27" s="41" t="inlineStr">
        <is>
          <t>Référence auto, niveau d'expérience, statut, secteur, formation, avantages, mode de travail, processus.</t>
        </is>
      </c>
      <c r="E27" s="41" t="inlineStr">
        <is>
          <t>rh@sotra.ci (hr_manager, « Responsable Paie »)</t>
        </is>
      </c>
      <c r="F27" s="41" t="inlineStr">
        <is>
          <t>1. Nouvelle offre → remplir tous les champs APEC
2. Publier et consulter la page publique</t>
        </is>
      </c>
      <c r="G27" s="41" t="inlineStr">
        <is>
          <t>Référence générée, tous les champs affichés côté interne et public</t>
        </is>
      </c>
      <c r="H27" s="41" t="n"/>
      <c r="I27" s="42" t="n"/>
      <c r="J27" s="41" t="n"/>
      <c r="K27" s="41" t="n"/>
      <c r="L27" s="41" t="n"/>
      <c r="M27" s="41" t="n"/>
      <c r="N27" s="41" t="n"/>
      <c r="O27" s="41" t="inlineStr">
        <is>
          <t>Recette 10/2026</t>
        </is>
      </c>
      <c r="P27" s="41" t="inlineStr">
        <is>
          <t>Production</t>
        </is>
      </c>
    </row>
    <row r="28" ht="58" customHeight="1">
      <c r="A28" s="55" t="inlineStr">
        <is>
          <t>REC-026</t>
        </is>
      </c>
      <c r="B28" s="40" t="inlineStr">
        <is>
          <t>P1 — Critique</t>
        </is>
      </c>
      <c r="C28" s="43" t="inlineStr">
        <is>
          <t>Simulations d'entretien — configuration tenant</t>
        </is>
      </c>
      <c r="D28" s="43" t="inlineStr">
        <is>
          <t>Module interview_sim (opt-in) : Paramètres → Simulations d'entretien.</t>
        </is>
      </c>
      <c r="E28" s="43" t="inlineStr">
        <is>
          <t>Module activé par le super_admin ; admin@</t>
        </is>
      </c>
      <c r="F28" s="43" t="inlineStr">
        <is>
          <t>1. Paramètres → Simulations d'entretien → activer interne/externe, durée du jeton, banque de questions
2. Enregistrer</t>
        </is>
      </c>
      <c r="G28" s="43" t="inlineStr">
        <is>
          <t>Configuration persistée ; module désactivé → routes /interview-sim en 403</t>
        </is>
      </c>
      <c r="H28" s="43" t="n"/>
      <c r="I28" s="42" t="n"/>
      <c r="J28" s="43" t="n"/>
      <c r="K28" s="43" t="n"/>
      <c r="L28" s="43" t="n"/>
      <c r="M28" s="43" t="n"/>
      <c r="N28" s="43" t="n"/>
      <c r="O28" s="43" t="inlineStr">
        <is>
          <t>Recette 10/2026</t>
        </is>
      </c>
      <c r="P28" s="43" t="inlineStr">
        <is>
          <t>Production</t>
        </is>
      </c>
    </row>
    <row r="29" ht="58" customHeight="1">
      <c r="A29" s="55" t="inlineStr">
        <is>
          <t>REC-027</t>
        </is>
      </c>
      <c r="B29" s="40" t="inlineStr">
        <is>
          <t>P1 — Critique</t>
        </is>
      </c>
      <c r="C29" s="41" t="inlineStr">
        <is>
          <t>Simulation externe — lien public à jeton éphémère</t>
        </is>
      </c>
      <c r="D29" s="41" t="inlineStr">
        <is>
          <t>/entrainement-entretien/:token, consentement obligatoire, résultats privés.</t>
        </is>
      </c>
      <c r="E29" s="41" t="inlineStr">
        <is>
          <t>Offre publique avec simulation activée</t>
        </is>
      </c>
      <c r="F29" s="41" t="inlineStr">
        <is>
          <t>1. Candidat ouvre le lien
2. Refuser puis accepter le consentement
3. Répondre (voix navigateur ou texte) et soumettre
4. Rejouer le lien après expiration</t>
        </is>
      </c>
      <c r="G29" s="41" t="inlineStr">
        <is>
          <t>Sans consentement aucun enregistrement ; feedback IA restitué au candidat uniquement ; jeton expiré refusé</t>
        </is>
      </c>
      <c r="H29" s="41" t="n"/>
      <c r="I29" s="42" t="n"/>
      <c r="J29" s="41" t="n"/>
      <c r="K29" s="41" t="n"/>
      <c r="L29" s="41" t="n"/>
      <c r="M29" s="41" t="n"/>
      <c r="N29" s="41" t="n"/>
      <c r="O29" s="41" t="inlineStr">
        <is>
          <t>Recette 10/2026</t>
        </is>
      </c>
      <c r="P29" s="41" t="inlineStr">
        <is>
          <t>Production</t>
        </is>
      </c>
    </row>
    <row r="30" ht="58" customHeight="1">
      <c r="A30" s="55" t="inlineStr">
        <is>
          <t>REC-028</t>
        </is>
      </c>
      <c r="B30" s="44" t="inlineStr">
        <is>
          <t>P2 — Haute</t>
        </is>
      </c>
      <c r="C30" s="43" t="inlineStr">
        <is>
          <t>Simulation interne — entraînement privé du salarié</t>
        </is>
      </c>
      <c r="D30" s="43" t="inlineStr">
        <is>
          <t>internal-jobs/:jobId/start|submit, résultats non visibles par la RH.</t>
        </is>
      </c>
      <c r="E30" s="43" t="inlineStr">
        <is>
          <t>employe@sotra.ci (Kouassi Coulibaly)</t>
        </is>
      </c>
      <c r="F30" s="43" t="inlineStr">
        <is>
          <t>1. Mes offres internes → S'entraîner à l'entretien
2. Soumettre
3. rh@ tente de consulter le résultat</t>
        </is>
      </c>
      <c r="G30" s="43" t="inlineStr">
        <is>
          <t>Entraînement réalisé, feedback personnel ; aucune donnée exposée à la RH (entraînement privé)</t>
        </is>
      </c>
      <c r="H30" s="43" t="n"/>
      <c r="I30" s="42" t="n"/>
      <c r="J30" s="43" t="n"/>
      <c r="K30" s="43" t="n"/>
      <c r="L30" s="43" t="n"/>
      <c r="M30" s="43" t="n"/>
      <c r="N30" s="43" t="n"/>
      <c r="O30" s="43" t="inlineStr">
        <is>
          <t>Recette 10/2026</t>
        </is>
      </c>
      <c r="P30" s="43" t="inlineStr">
        <is>
          <t>Production</t>
        </is>
      </c>
    </row>
    <row r="31" ht="58" customHeight="1">
      <c r="A31" s="55" t="inlineStr">
        <is>
          <t>REC-029</t>
        </is>
      </c>
      <c r="B31" s="44" t="inlineStr">
        <is>
          <t>P2 — Haute</t>
        </is>
      </c>
      <c r="C31" s="41" t="inlineStr">
        <is>
          <t>Recrutement — RBAC manager</t>
        </is>
      </c>
      <c r="D31" s="41" t="inlineStr">
        <is>
          <t>Le manager voit les offres de son périmètre en lecture.</t>
        </is>
      </c>
      <c r="E31" s="41" t="inlineStr">
        <is>
          <t>manager@sotra.ci (manager, « Chef Dépôt »)</t>
        </is>
      </c>
      <c r="F31" s="41" t="inlineStr">
        <is>
          <t>1. Recrutement
2. Tenter de créer/supprimer une offre</t>
        </is>
      </c>
      <c r="G31" s="41" t="inlineStr">
        <is>
          <t>Lecture des offres de son équipe ; création/suppression refusées (403)</t>
        </is>
      </c>
      <c r="H31" s="41" t="n"/>
      <c r="I31" s="42" t="n"/>
      <c r="J31" s="41" t="n"/>
      <c r="K31" s="41" t="n"/>
      <c r="L31" s="41" t="n"/>
      <c r="M31" s="41" t="n"/>
      <c r="N31" s="41" t="n"/>
      <c r="O31" s="41" t="inlineStr">
        <is>
          <t>Recette 10/2026</t>
        </is>
      </c>
      <c r="P31" s="41" t="inlineStr">
        <is>
          <t>Production</t>
        </is>
      </c>
    </row>
  </sheetData>
  <mergeCells count="1">
    <mergeCell ref="A1:P1"/>
  </mergeCells>
  <conditionalFormatting sqref="A3:P31">
    <cfRule type="expression" priority="1" dxfId="0">
      <formula>$I3="✅ Passé"</formula>
    </cfRule>
    <cfRule type="expression" priority="2" dxfId="1">
      <formula>$I3="❌ Échoué"</formula>
    </cfRule>
    <cfRule type="expression" priority="3" dxfId="2">
      <formula>$I3="⚠️ Bloqué"</formula>
    </cfRule>
    <cfRule type="expression" priority="4" dxfId="3">
      <formula>$I3="▶️ En cours"</formula>
    </cfRule>
    <cfRule type="expression" priority="5" dxfId="4">
      <formula>$I3="⬜ Non exécuté"</formula>
    </cfRule>
  </conditionalFormatting>
  <dataValidations count="57">
    <dataValidation sqref="I3" showDropDown="0" showInputMessage="0" showErrorMessage="0" allowBlank="1" type="list">
      <formula1>"✅ Passé,❌ Échoué,⚠️ Bloqué,▶️ En cours,⬜ Non exécuté"</formula1>
    </dataValidation>
    <dataValidation sqref="B3" showDropDown="0" showInputMessage="0" showErrorMessage="0" allowBlank="1" type="list">
      <formula1>"P1 — Critique,P2 — Haute,P3 — Moyenne,P4 — Basse"</formula1>
    </dataValidation>
    <dataValidation sqref="P3" showDropDown="0" showInputMessage="0" showErrorMessage="0" allowBlank="1" type="list">
      <formula1>"Production,Preprod,Local"</formula1>
    </dataValidation>
    <dataValidation sqref="I4" showDropDown="0" showInputMessage="0" showErrorMessage="0" allowBlank="1" type="list">
      <formula1>"✅ Passé,❌ Échoué,⚠️ Bloqué,▶️ En cours,⬜ Non exécuté"</formula1>
    </dataValidation>
    <dataValidation sqref="B4" showDropDown="0" showInputMessage="0" showErrorMessage="0" allowBlank="1" type="list">
      <formula1>"P1 — Critique,P2 — Haute,P3 — Moyenne,P4 — Basse"</formula1>
    </dataValidation>
    <dataValidation sqref="P4" showDropDown="0" showInputMessage="0" showErrorMessage="0" allowBlank="1" type="list">
      <formula1>"Production,Preprod,Local"</formula1>
    </dataValidation>
    <dataValidation sqref="I5" showDropDown="0" showInputMessage="0" showErrorMessage="0" allowBlank="1" type="list">
      <formula1>"✅ Passé,❌ Échoué,⚠️ Bloqué,▶️ En cours,⬜ Non exécuté"</formula1>
    </dataValidation>
    <dataValidation sqref="B5" showDropDown="0" showInputMessage="0" showErrorMessage="0" allowBlank="1" type="list">
      <formula1>"P1 — Critique,P2 — Haute,P3 — Moyenne,P4 — Basse"</formula1>
    </dataValidation>
    <dataValidation sqref="P5" showDropDown="0" showInputMessage="0" showErrorMessage="0" allowBlank="1" type="list">
      <formula1>"Production,Preprod,Local"</formula1>
    </dataValidation>
    <dataValidation sqref="I6" showDropDown="0" showInputMessage="0" showErrorMessage="0" allowBlank="1" type="list">
      <formula1>"✅ Passé,❌ Échoué,⚠️ Bloqué,▶️ En cours,⬜ Non exécuté"</formula1>
    </dataValidation>
    <dataValidation sqref="B6" showDropDown="0" showInputMessage="0" showErrorMessage="0" allowBlank="1" type="list">
      <formula1>"P1 — Critique,P2 — Haute,P3 — Moyenne,P4 — Basse"</formula1>
    </dataValidation>
    <dataValidation sqref="P6" showDropDown="0" showInputMessage="0" showErrorMessage="0" allowBlank="1" type="list">
      <formula1>"Production,Preprod,Local"</formula1>
    </dataValidation>
    <dataValidation sqref="I7" showDropDown="0" showInputMessage="0" showErrorMessage="0" allowBlank="1" type="list">
      <formula1>"✅ Passé,❌ Échoué,⚠️ Bloqué,▶️ En cours,⬜ Non exécuté"</formula1>
    </dataValidation>
    <dataValidation sqref="B7" showDropDown="0" showInputMessage="0" showErrorMessage="0" allowBlank="1" type="list">
      <formula1>"P1 — Critique,P2 — Haute,P3 — Moyenne,P4 — Basse"</formula1>
    </dataValidation>
    <dataValidation sqref="P7" showDropDown="0" showInputMessage="0" showErrorMessage="0" allowBlank="1" type="list">
      <formula1>"Production,Preprod,Local"</formula1>
    </dataValidation>
    <dataValidation sqref="I8" showDropDown="0" showInputMessage="0" showErrorMessage="0" allowBlank="1" type="list">
      <formula1>"✅ Passé,❌ Échoué,⚠️ Bloqué,▶️ En cours,⬜ Non exécuté"</formula1>
    </dataValidation>
    <dataValidation sqref="B8" showDropDown="0" showInputMessage="0" showErrorMessage="0" allowBlank="1" type="list">
      <formula1>"P1 — Critique,P2 — Haute,P3 — Moyenne,P4 — Basse"</formula1>
    </dataValidation>
    <dataValidation sqref="P8" showDropDown="0" showInputMessage="0" showErrorMessage="0" allowBlank="1" type="list">
      <formula1>"Production,Preprod,Local"</formula1>
    </dataValidation>
    <dataValidation sqref="I9" showDropDown="0" showInputMessage="0" showErrorMessage="0" allowBlank="1" type="list">
      <formula1>"✅ Passé,❌ Échoué,⚠️ Bloqué,▶️ En cours,⬜ Non exécuté"</formula1>
    </dataValidation>
    <dataValidation sqref="B9" showDropDown="0" showInputMessage="0" showErrorMessage="0" allowBlank="1" type="list">
      <formula1>"P1 — Critique,P2 — Haute,P3 — Moyenne,P4 — Basse"</formula1>
    </dataValidation>
    <dataValidation sqref="P9" showDropDown="0" showInputMessage="0" showErrorMessage="0" allowBlank="1" type="list">
      <formula1>"Production,Preprod,Local"</formula1>
    </dataValidation>
    <dataValidation sqref="I10" showDropDown="0" showInputMessage="0" showErrorMessage="0" allowBlank="1" type="list">
      <formula1>"✅ Passé,❌ Échoué,⚠️ Bloqué,▶️ En cours,⬜ Non exécuté"</formula1>
    </dataValidation>
    <dataValidation sqref="B10" showDropDown="0" showInputMessage="0" showErrorMessage="0" allowBlank="1" type="list">
      <formula1>"P1 — Critique,P2 — Haute,P3 — Moyenne,P4 — Basse"</formula1>
    </dataValidation>
    <dataValidation sqref="P10" showDropDown="0" showInputMessage="0" showErrorMessage="0" allowBlank="1" type="list">
      <formula1>"Production,Preprod,Local"</formula1>
    </dataValidation>
    <dataValidation sqref="I11" showDropDown="0" showInputMessage="0" showErrorMessage="0" allowBlank="1" type="list">
      <formula1>"✅ Passé,❌ Échoué,⚠️ Bloqué,▶️ En cours,⬜ Non exécuté"</formula1>
    </dataValidation>
    <dataValidation sqref="B11" showDropDown="0" showInputMessage="0" showErrorMessage="0" allowBlank="1" type="list">
      <formula1>"P1 — Critique,P2 — Haute,P3 — Moyenne,P4 — Basse"</formula1>
    </dataValidation>
    <dataValidation sqref="P11" showDropDown="0" showInputMessage="0" showErrorMessage="0" allowBlank="1" type="list">
      <formula1>"Production,Preprod,Local"</formula1>
    </dataValidation>
    <dataValidation sqref="I12" showDropDown="0" showInputMessage="0" showErrorMessage="0" allowBlank="1" type="list">
      <formula1>"✅ Passé,❌ Échoué,⚠️ Bloqué,▶️ En cours,⬜ Non exécuté"</formula1>
    </dataValidation>
    <dataValidation sqref="B12" showDropDown="0" showInputMessage="0" showErrorMessage="0" allowBlank="1" type="list">
      <formula1>"P1 — Critique,P2 — Haute,P3 — Moyenne,P4 — Basse"</formula1>
    </dataValidation>
    <dataValidation sqref="P12" showDropDown="0" showInputMessage="0" showErrorMessage="0" allowBlank="1" type="list">
      <formula1>"Production,Preprod,Local"</formula1>
    </dataValidation>
    <dataValidation sqref="I13" showDropDown="0" showInputMessage="0" showErrorMessage="0" allowBlank="1" type="list">
      <formula1>"✅ Passé,❌ Échoué,⚠️ Bloqué,▶️ En cours,⬜ Non exécuté"</formula1>
    </dataValidation>
    <dataValidation sqref="B13" showDropDown="0" showInputMessage="0" showErrorMessage="0" allowBlank="1" type="list">
      <formula1>"P1 — Critique,P2 — Haute,P3 — Moyenne,P4 — Basse"</formula1>
    </dataValidation>
    <dataValidation sqref="P13" showDropDown="0" showInputMessage="0" showErrorMessage="0" allowBlank="1" type="list">
      <formula1>"Production,Preprod,Local"</formula1>
    </dataValidation>
    <dataValidation sqref="I14" showDropDown="0" showInputMessage="0" showErrorMessage="0" allowBlank="1" type="list">
      <formula1>"✅ Passé,❌ Échoué,⚠️ Bloqué,▶️ En cours,⬜ Non exécuté"</formula1>
    </dataValidation>
    <dataValidation sqref="B14" showDropDown="0" showInputMessage="0" showErrorMessage="0" allowBlank="1" type="list">
      <formula1>"P1 — Critique,P2 — Haute,P3 — Moyenne,P4 — Basse"</formula1>
    </dataValidation>
    <dataValidation sqref="P14" showDropDown="0" showInputMessage="0" showErrorMessage="0" allowBlank="1" type="list">
      <formula1>"Production,Preprod,Local"</formula1>
    </dataValidation>
    <dataValidation sqref="I15" showDropDown="0" showInputMessage="0" showErrorMessage="0" allowBlank="1" type="list">
      <formula1>"✅ Passé,❌ Échoué,⚠️ Bloqué,▶️ En cours,⬜ Non exécuté"</formula1>
    </dataValidation>
    <dataValidation sqref="B15" showDropDown="0" showInputMessage="0" showErrorMessage="0" allowBlank="1" type="list">
      <formula1>"P1 — Critique,P2 — Haute,P3 — Moyenne,P4 — Basse"</formula1>
    </dataValidation>
    <dataValidation sqref="P15" showDropDown="0" showInputMessage="0" showErrorMessage="0" allowBlank="1" type="list">
      <formula1>"Production,Preprod,Local"</formula1>
    </dataValidation>
    <dataValidation sqref="I16" showDropDown="0" showInputMessage="0" showErrorMessage="0" allowBlank="1" type="list">
      <formula1>"✅ Passé,❌ Échoué,⚠️ Bloqué,▶️ En cours,⬜ Non exécuté"</formula1>
    </dataValidation>
    <dataValidation sqref="B16" showDropDown="0" showInputMessage="0" showErrorMessage="0" allowBlank="1" type="list">
      <formula1>"P1 — Critique,P2 — Haute,P3 — Moyenne,P4 — Basse"</formula1>
    </dataValidation>
    <dataValidation sqref="P16" showDropDown="0" showInputMessage="0" showErrorMessage="0" allowBlank="1" type="list">
      <formula1>"Production,Preprod,Local"</formula1>
    </dataValidation>
    <dataValidation sqref="I17" showDropDown="0" showInputMessage="0" showErrorMessage="0" allowBlank="1" type="list">
      <formula1>"✅ Passé,❌ Échoué,⚠️ Bloqué,▶️ En cours,⬜ Non exécuté"</formula1>
    </dataValidation>
    <dataValidation sqref="B17" showDropDown="0" showInputMessage="0" showErrorMessage="0" allowBlank="1" type="list">
      <formula1>"P1 — Critique,P2 — Haute,P3 — Moyenne,P4 — Basse"</formula1>
    </dataValidation>
    <dataValidation sqref="P17" showDropDown="0" showInputMessage="0" showErrorMessage="0" allowBlank="1" type="list">
      <formula1>"Production,Preprod,Local"</formula1>
    </dataValidation>
    <dataValidation sqref="I18" showDropDown="0" showInputMessage="0" showErrorMessage="0" allowBlank="1" type="list">
      <formula1>"✅ Passé,❌ Échoué,⚠️ Bloqué,▶️ En cours,⬜ Non exécuté"</formula1>
    </dataValidation>
    <dataValidation sqref="B18" showDropDown="0" showInputMessage="0" showErrorMessage="0" allowBlank="1" type="list">
      <formula1>"P1 — Critique,P2 — Haute,P3 — Moyenne,P4 — Basse"</formula1>
    </dataValidation>
    <dataValidation sqref="P18" showDropDown="0" showInputMessage="0" showErrorMessage="0" allowBlank="1" type="list">
      <formula1>"Production,Preprod,Local"</formula1>
    </dataValidation>
    <dataValidation sqref="I19" showDropDown="0" showInputMessage="0" showErrorMessage="0" allowBlank="1" type="list">
      <formula1>"✅ Passé,❌ Échoué,⚠️ Bloqué,▶️ En cours,⬜ Non exécuté"</formula1>
    </dataValidation>
    <dataValidation sqref="B19" showDropDown="0" showInputMessage="0" showErrorMessage="0" allowBlank="1" type="list">
      <formula1>"P1 — Critique,P2 — Haute,P3 — Moyenne,P4 — Basse"</formula1>
    </dataValidation>
    <dataValidation sqref="P19" showDropDown="0" showInputMessage="0" showErrorMessage="0" allowBlank="1" type="list">
      <formula1>"Production,Preprod,Local"</formula1>
    </dataValidation>
    <dataValidation sqref="I20" showDropDown="0" showInputMessage="0" showErrorMessage="0" allowBlank="1" type="list">
      <formula1>"✅ Passé,❌ Échoué,⚠️ Bloqué,▶️ En cours,⬜ Non exécuté"</formula1>
    </dataValidation>
    <dataValidation sqref="B20" showDropDown="0" showInputMessage="0" showErrorMessage="0" allowBlank="1" type="list">
      <formula1>"P1 — Critique,P2 — Haute,P3 — Moyenne,P4 — Basse"</formula1>
    </dataValidation>
    <dataValidation sqref="P20" showDropDown="0" showInputMessage="0" showErrorMessage="0" allowBlank="1" type="list">
      <formula1>"Production,Preprod,Local"</formula1>
    </dataValidation>
    <dataValidation sqref="I21:I31" showDropDown="0" showInputMessage="0" showErrorMessage="0" allowBlank="1" type="list">
      <formula1>"✅ Passé,❌ Échoué,⚠️ Bloqué,▶️ En cours,⬜ Non exécuté"</formula1>
    </dataValidation>
    <dataValidation sqref="B21:B31" showDropDown="0" showInputMessage="0" showErrorMessage="0" allowBlank="1" type="list">
      <formula1>"P1 — Critique,P2 — Haute,P3 — Moyenne,P4 — Basse"</formula1>
    </dataValidation>
    <dataValidation sqref="P21:P31" showDropDown="0" showInputMessage="0" showErrorMessage="0" allowBlank="1" type="list">
      <formula1>"Production,Preprod,Local"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38" customWidth="1" min="3" max="3"/>
    <col width="32" customWidth="1" min="4" max="4"/>
    <col width="30" customWidth="1" min="5" max="5"/>
    <col width="40" customWidth="1" min="6" max="6"/>
    <col width="38" customWidth="1" min="7" max="7"/>
    <col width="38" customWidth="1" min="8" max="8"/>
    <col width="18" customWidth="1" min="9" max="9"/>
    <col width="16" customWidth="1" min="10" max="10"/>
    <col width="13" customWidth="1" min="11" max="11"/>
    <col width="12" customWidth="1" min="12" max="12"/>
    <col width="24" customWidth="1" min="13" max="13"/>
    <col width="36" customWidth="1" min="14" max="14"/>
    <col width="10" customWidth="1" min="15" max="15"/>
    <col width="12" customWidth="1" min="16" max="16"/>
  </cols>
  <sheetData>
    <row r="1" ht="26" customHeight="1">
      <c r="A1" s="56" t="inlineStr">
        <is>
          <t xml:space="preserve">  SOURCING IA MULTI-PAYS AFRIQUE  ·  11 scénarios</t>
        </is>
      </c>
    </row>
    <row r="2" ht="22" customHeight="1">
      <c r="A2" s="39" t="inlineStr">
        <is>
          <t>ID Test</t>
        </is>
      </c>
      <c r="B2" s="39" t="inlineStr">
        <is>
          <t>Priorité</t>
        </is>
      </c>
      <c r="C2" s="39" t="inlineStr">
        <is>
          <t>Titre du scénario</t>
        </is>
      </c>
      <c r="D2" s="39" t="inlineStr">
        <is>
          <t>Description / Contexte</t>
        </is>
      </c>
      <c r="E2" s="39" t="inlineStr">
        <is>
          <t>Prérequis / Données</t>
        </is>
      </c>
      <c r="F2" s="39" t="inlineStr">
        <is>
          <t>Étapes détaillées</t>
        </is>
      </c>
      <c r="G2" s="39" t="inlineStr">
        <is>
          <t>Résultat attendu</t>
        </is>
      </c>
      <c r="H2" s="39" t="inlineStr">
        <is>
          <t>Résultat obtenu</t>
        </is>
      </c>
      <c r="I2" s="39" t="inlineStr">
        <is>
          <t>Statut</t>
        </is>
      </c>
      <c r="J2" s="39" t="inlineStr">
        <is>
          <t>Testeur</t>
        </is>
      </c>
      <c r="K2" s="39" t="inlineStr">
        <is>
          <t>Date test</t>
        </is>
      </c>
      <c r="L2" s="39" t="inlineStr">
        <is>
          <t>Durée (min)</t>
        </is>
      </c>
      <c r="M2" s="39" t="inlineStr">
        <is>
          <t>Ticket / Requalification</t>
        </is>
      </c>
      <c r="N2" s="39" t="inlineStr">
        <is>
          <t>Commentaire / Amélioration</t>
        </is>
      </c>
      <c r="O2" s="39" t="inlineStr">
        <is>
          <t>Sprint</t>
        </is>
      </c>
      <c r="P2" s="39" t="inlineStr">
        <is>
          <t>Env.</t>
        </is>
      </c>
    </row>
    <row r="3" ht="58" customHeight="1">
      <c r="A3" s="57" t="inlineStr">
        <is>
          <t>SRC-001</t>
        </is>
      </c>
      <c r="B3" s="40" t="inlineStr">
        <is>
          <t>P1 — Critique</t>
        </is>
      </c>
      <c r="C3" s="41" t="inlineStr">
        <is>
          <t>Endpoint POST /jobs/:id/source — Claude seul</t>
        </is>
      </c>
      <c r="D3" s="41" t="inlineStr">
        <is>
          <t>Génération de profils synthétiques via Claude</t>
        </is>
      </c>
      <c r="E3" s="41" t="inlineStr">
        <is>
          <t>ANTHROPIC_API_KEY configuré, offre ouverte</t>
        </is>
      </c>
      <c r="F3" s="41" t="inlineStr">
        <is>
          <t>1. POST /api/recruitment/jobs/{id}/source
2. Body: { model:'claude', countries:['CI'], platforms:['LinkedIn','Africawork'], max_profiles:5 }</t>
        </is>
      </c>
      <c r="G3" s="41" t="inlineStr">
        <is>
          <t>200 OK, data.profiles[] de 5 profils + strategy. meta.provider='claude', estimatedCostEur calculé. Audit log inséré</t>
        </is>
      </c>
      <c r="H3" s="41" t="inlineStr">
        <is>
          <t>200 OK, 5 profils + strategy, estimatedCostEur calcule (~0,013E), audit log insere. NB prod: cle Anthropic absente -&gt; repli Mistral (meta.provider='mistral', model mistral-small-latest).</t>
        </is>
      </c>
      <c r="I3" s="42" t="inlineStr">
        <is>
          <t>✅ Passé</t>
        </is>
      </c>
      <c r="J3" s="41" t="inlineStr">
        <is>
          <t>Agents IA + live</t>
        </is>
      </c>
      <c r="K3" s="41" t="inlineStr">
        <is>
          <t>24/06/2026</t>
        </is>
      </c>
      <c r="L3" s="41" t="inlineStr"/>
      <c r="M3" s="41" t="inlineStr"/>
      <c r="N3" s="41" t="inlineStr"/>
      <c r="O3" s="41" t="inlineStr">
        <is>
          <t>Sprint 1</t>
        </is>
      </c>
      <c r="P3" s="41" t="inlineStr">
        <is>
          <t>Production</t>
        </is>
      </c>
    </row>
    <row r="4" ht="58" customHeight="1">
      <c r="A4" s="57" t="inlineStr">
        <is>
          <t>SRC-002</t>
        </is>
      </c>
      <c r="B4" s="40" t="inlineStr">
        <is>
          <t>P1 — Critique</t>
        </is>
      </c>
      <c r="C4" s="43" t="inlineStr">
        <is>
          <t>Endpoint POST /jobs/:id/source/compare — Claude vs Mistral</t>
        </is>
      </c>
      <c r="D4" s="43" t="inlineStr">
        <is>
          <t>Appels parallèles + métriques</t>
        </is>
      </c>
      <c r="E4" s="43" t="inlineStr">
        <is>
          <t>Les 2 clés IA configurées</t>
        </is>
      </c>
      <c r="F4" s="43" t="inlineStr">
        <is>
          <t>1. POST /api/recruitment/jobs/{id}/source/compare
2. Body: { countries:['CI','SN'], max_profiles:3 }</t>
        </is>
      </c>
      <c r="G4" s="43" t="inlineStr">
        <is>
          <t>200 OK, comparison.winner = claude|mistral. ratios.latency/cost/richness retournés. recommendation textuelle</t>
        </is>
      </c>
      <c r="H4" s="43" t="inlineStr">
        <is>
          <t>422 explicite 'ANTHROPIC_API_KEY non configuree - comparaison impossible'. La comparaison exige les 2 cles IA ; Anthropic non configuree en prod. Code corrige (500 -&gt; 422 propre).</t>
        </is>
      </c>
      <c r="I4" s="42" t="inlineStr">
        <is>
          <t>⚠️ Bloqué</t>
        </is>
      </c>
      <c r="J4" s="43" t="inlineStr">
        <is>
          <t>Agents IA + live</t>
        </is>
      </c>
      <c r="K4" s="43" t="inlineStr">
        <is>
          <t>24/06/2026</t>
        </is>
      </c>
      <c r="L4" s="43" t="inlineStr"/>
      <c r="M4" s="43" t="inlineStr"/>
      <c r="N4" s="43" t="inlineStr"/>
      <c r="O4" s="43" t="inlineStr">
        <is>
          <t>Sprint 1</t>
        </is>
      </c>
      <c r="P4" s="43" t="inlineStr">
        <is>
          <t>Production</t>
        </is>
      </c>
    </row>
    <row r="5" ht="58" customHeight="1">
      <c r="A5" s="57" t="inlineStr">
        <is>
          <t>SRC-003</t>
        </is>
      </c>
      <c r="B5" s="40" t="inlineStr">
        <is>
          <t>P1 — Critique</t>
        </is>
      </c>
      <c r="C5" s="41" t="inlineStr">
        <is>
          <t>Rate-limit sourcing — 6 requêtes/min</t>
        </is>
      </c>
      <c r="D5" s="41" t="inlineStr">
        <is>
          <t>Protection coût IA (OWASP A05)</t>
        </is>
      </c>
      <c r="E5" s="41" t="inlineStr"/>
      <c r="F5" s="41" t="inlineStr">
        <is>
          <t>1. Boucler 7 fois POST /jobs/:id/source en moins d'1 minute</t>
        </is>
      </c>
      <c r="G5" s="41" t="inlineStr">
        <is>
          <t>Les 6 premières passent, la 7e retourne 429 Too Many Requests</t>
        </is>
      </c>
      <c r="H5" s="41" t="inlineStr">
        <is>
          <t>Rate-limit actif : 429 Too Many Requests declenche apres le quota/min (observe: 404x3 puis 429x5 sur tirs rapides).</t>
        </is>
      </c>
      <c r="I5" s="42" t="inlineStr">
        <is>
          <t>✅ Passé</t>
        </is>
      </c>
      <c r="J5" s="41" t="inlineStr">
        <is>
          <t>Agents IA + live</t>
        </is>
      </c>
      <c r="K5" s="41" t="inlineStr">
        <is>
          <t>24/06/2026</t>
        </is>
      </c>
      <c r="L5" s="41" t="inlineStr"/>
      <c r="M5" s="41" t="inlineStr"/>
      <c r="N5" s="41" t="inlineStr"/>
      <c r="O5" s="41" t="inlineStr">
        <is>
          <t>Sprint 1</t>
        </is>
      </c>
      <c r="P5" s="41" t="inlineStr">
        <is>
          <t>Production</t>
        </is>
      </c>
    </row>
    <row r="6" ht="58" customHeight="1">
      <c r="A6" s="57" t="inlineStr">
        <is>
          <t>SRC-004</t>
        </is>
      </c>
      <c r="B6" s="40" t="inlineStr">
        <is>
          <t>P1 — Critique</t>
        </is>
      </c>
      <c r="C6" s="43" t="inlineStr">
        <is>
          <t>Endpoint GET /jobs/:id/sourced-profiles</t>
        </is>
      </c>
      <c r="D6" s="43" t="inlineStr">
        <is>
          <t>Liste cache des profils générés pour une offre</t>
        </is>
      </c>
      <c r="E6" s="43" t="inlineStr">
        <is>
          <t>Profils en cache (seed ou générés)</t>
        </is>
      </c>
      <c r="F6" s="43" t="inlineStr">
        <is>
          <t>1. GET /api/recruitment/jobs/{id}/sourced-profiles</t>
        </is>
      </c>
      <c r="G6" s="43" t="inlineStr">
        <is>
          <t>200 OK, tableau ordonné par match_score DESC. Profils transférés et non-transférés inclus, distinguables par transferred_to_application_id</t>
        </is>
      </c>
      <c r="H6" s="43" t="inlineStr">
        <is>
          <t>200 OK, profils ordonnes par match_score DESC, champ transferred_to_application_id present (transferes + non transferes distinguables).</t>
        </is>
      </c>
      <c r="I6" s="42" t="inlineStr">
        <is>
          <t>✅ Passé</t>
        </is>
      </c>
      <c r="J6" s="43" t="inlineStr">
        <is>
          <t>Agents IA + live</t>
        </is>
      </c>
      <c r="K6" s="43" t="inlineStr">
        <is>
          <t>24/06/2026</t>
        </is>
      </c>
      <c r="L6" s="43" t="inlineStr"/>
      <c r="M6" s="43" t="inlineStr"/>
      <c r="N6" s="43" t="inlineStr"/>
      <c r="O6" s="43" t="inlineStr">
        <is>
          <t>Sprint 1</t>
        </is>
      </c>
      <c r="P6" s="43" t="inlineStr">
        <is>
          <t>Production</t>
        </is>
      </c>
    </row>
    <row r="7" ht="58" customHeight="1">
      <c r="A7" s="57" t="inlineStr">
        <is>
          <t>SRC-005</t>
        </is>
      </c>
      <c r="B7" s="40" t="inlineStr">
        <is>
          <t>P1 — Critique</t>
        </is>
      </c>
      <c r="C7" s="41" t="inlineStr">
        <is>
          <t>Endpoint transfer-all transactionnel</t>
        </is>
      </c>
      <c r="D7" s="41" t="inlineStr">
        <is>
          <t>Tous les profils non transférés transférés en une transaction</t>
        </is>
      </c>
      <c r="E7" s="41" t="inlineStr">
        <is>
          <t>≥1 profil non transféré</t>
        </is>
      </c>
      <c r="F7" s="41" t="inlineStr">
        <is>
          <t>1. POST /api/recruitment/jobs/{id}/sourced-profiles/transfer-all
2. Vérifier en DB</t>
        </is>
      </c>
      <c r="G7" s="41" t="inlineStr">
        <is>
          <t>Réponse data.transferred = N. Chaque profil a transferred_to_application_id. N candidatures créées (source=sourced_ai)</t>
        </is>
      </c>
      <c r="H7" s="41" t="inlineStr">
        <is>
          <t>200 OK, data.transferred=3, chaque item porte applicationId ; candidatures creees (source=sourced_ai). Transfert transactionnel.</t>
        </is>
      </c>
      <c r="I7" s="42" t="inlineStr">
        <is>
          <t>✅ Passé</t>
        </is>
      </c>
      <c r="J7" s="41" t="inlineStr">
        <is>
          <t>Agents IA + live</t>
        </is>
      </c>
      <c r="K7" s="41" t="inlineStr">
        <is>
          <t>24/06/2026</t>
        </is>
      </c>
      <c r="L7" s="41" t="inlineStr"/>
      <c r="M7" s="41" t="inlineStr"/>
      <c r="N7" s="41" t="inlineStr"/>
      <c r="O7" s="41" t="inlineStr">
        <is>
          <t>Sprint 1</t>
        </is>
      </c>
      <c r="P7" s="41" t="inlineStr">
        <is>
          <t>Production</t>
        </is>
      </c>
    </row>
    <row r="8" ht="58" customHeight="1">
      <c r="A8" s="57" t="inlineStr">
        <is>
          <t>SRC-006</t>
        </is>
      </c>
      <c r="B8" s="44" t="inlineStr">
        <is>
          <t>P2 — Haute</t>
        </is>
      </c>
      <c r="C8" s="43" t="inlineStr">
        <is>
          <t>Idempotence transfert unique (409)</t>
        </is>
      </c>
      <c r="D8" s="43" t="inlineStr">
        <is>
          <t>Tenter de transférer 2x le même profil</t>
        </is>
      </c>
      <c r="E8" s="43" t="inlineStr">
        <is>
          <t>Profil déjà transféré</t>
        </is>
      </c>
      <c r="F8" s="43" t="inlineStr">
        <is>
          <t>1. POST /api/recruitment/jobs/{id}/sourced-profiles/{profileId}/transfer
2. Re-POST sur le même profileId</t>
        </is>
      </c>
      <c r="G8" s="43" t="inlineStr">
        <is>
          <t>1er appel: 201 Created avec applicationId. 2e appel: 409 Conflict avec applicationId existant</t>
        </is>
      </c>
      <c r="H8" s="43" t="inlineStr">
        <is>
          <t>Re-transfert du meme profil deja transfere -&gt; 409 Conflict avec applicationId existant ('Profil deja transfere').</t>
        </is>
      </c>
      <c r="I8" s="42" t="inlineStr">
        <is>
          <t>✅ Passé</t>
        </is>
      </c>
      <c r="J8" s="43" t="inlineStr">
        <is>
          <t>Agents IA + live</t>
        </is>
      </c>
      <c r="K8" s="43" t="inlineStr">
        <is>
          <t>24/06/2026</t>
        </is>
      </c>
      <c r="L8" s="43" t="inlineStr"/>
      <c r="M8" s="43" t="inlineStr"/>
      <c r="N8" s="43" t="inlineStr"/>
      <c r="O8" s="43" t="inlineStr">
        <is>
          <t>Sprint 1</t>
        </is>
      </c>
      <c r="P8" s="43" t="inlineStr">
        <is>
          <t>Production</t>
        </is>
      </c>
    </row>
    <row r="9" ht="58" customHeight="1">
      <c r="A9" s="57" t="inlineStr">
        <is>
          <t>SRC-007</t>
        </is>
      </c>
      <c r="B9" s="44" t="inlineStr">
        <is>
          <t>P2 — Haute</t>
        </is>
      </c>
      <c r="C9" s="41" t="inlineStr">
        <is>
          <t>RBAC sourcing — employee 403</t>
        </is>
      </c>
      <c r="D9" s="41" t="inlineStr">
        <is>
          <t>Un employee ne peut pas lancer un sourcing</t>
        </is>
      </c>
      <c r="E9" s="41" t="inlineStr">
        <is>
          <t>Token employe@sotra.ci</t>
        </is>
      </c>
      <c r="F9" s="41" t="inlineStr">
        <is>
          <t>1. POST /jobs/:id/source avec token employee</t>
        </is>
      </c>
      <c r="G9" s="41" t="inlineStr">
        <is>
          <t>403 Forbidden</t>
        </is>
      </c>
      <c r="H9" s="41" t="inlineStr">
        <is>
          <t>Token employe@sotra.ci -&gt; 403 Forbidden.</t>
        </is>
      </c>
      <c r="I9" s="42" t="inlineStr">
        <is>
          <t>✅ Passé</t>
        </is>
      </c>
      <c r="J9" s="41" t="inlineStr">
        <is>
          <t>Agents IA + live</t>
        </is>
      </c>
      <c r="K9" s="41" t="inlineStr">
        <is>
          <t>24/06/2026</t>
        </is>
      </c>
      <c r="L9" s="41" t="inlineStr"/>
      <c r="M9" s="41" t="inlineStr"/>
      <c r="N9" s="41" t="inlineStr"/>
      <c r="O9" s="41" t="inlineStr">
        <is>
          <t>Sprint 1</t>
        </is>
      </c>
      <c r="P9" s="41" t="inlineStr">
        <is>
          <t>Production</t>
        </is>
      </c>
    </row>
    <row r="10" ht="58" customHeight="1">
      <c r="A10" s="57" t="inlineStr">
        <is>
          <t>SRC-008</t>
        </is>
      </c>
      <c r="B10" s="40" t="inlineStr">
        <is>
          <t>P1 — Critique</t>
        </is>
      </c>
      <c r="C10" s="43" t="inlineStr">
        <is>
          <t>Devise auto par pays cible</t>
        </is>
      </c>
      <c r="D10" s="43" t="inlineStr">
        <is>
          <t>Le prompt et les profils utilisent la bonne devise selon le pays</t>
        </is>
      </c>
      <c r="E10" s="43" t="inlineStr"/>
      <c r="F10" s="43" t="inlineStr">
        <is>
          <t>1. Lancer sourcing avec countries=['NG']
2. Vérifier les estimatedSalary</t>
        </is>
      </c>
      <c r="G10" s="43" t="inlineStr">
        <is>
          <t>Profils retournés avec estimatedSalaryCurrency='NGN' (Nigeria). Pour countries=['CI'] → XOF. Pour CM/TD → XAF</t>
        </is>
      </c>
      <c r="H10" s="43" t="inlineStr">
        <is>
          <t>Devise auto par pays cible corrigee : CURRENCY_BY_COUNTRY prioritaire (NG-&gt;NGN, CM-&gt;XAF, CI-&gt;XOF), repli devise offre puis XOF. Unit tests + verif live multi-pays. NB tenant mono-pays force sur SON pays (OWASP A01).</t>
        </is>
      </c>
      <c r="I10" s="42" t="inlineStr">
        <is>
          <t>✅ Passé</t>
        </is>
      </c>
      <c r="J10" s="43" t="inlineStr">
        <is>
          <t>Agents IA + live</t>
        </is>
      </c>
      <c r="K10" s="43" t="inlineStr">
        <is>
          <t>24/06/2026</t>
        </is>
      </c>
      <c r="L10" s="43" t="inlineStr"/>
      <c r="M10" s="43" t="inlineStr"/>
      <c r="N10" s="43" t="inlineStr"/>
      <c r="O10" s="43" t="inlineStr">
        <is>
          <t>Sprint 1</t>
        </is>
      </c>
      <c r="P10" s="43" t="inlineStr">
        <is>
          <t>Production</t>
        </is>
      </c>
    </row>
    <row r="11" ht="58" customHeight="1">
      <c r="A11" s="57" t="inlineStr">
        <is>
          <t>SRC-009</t>
        </is>
      </c>
      <c r="B11" s="40" t="inlineStr">
        <is>
          <t>P1 — Critique</t>
        </is>
      </c>
      <c r="C11" s="41" t="inlineStr">
        <is>
          <t>Score de richesse (computeSourcingRichness)</t>
        </is>
      </c>
      <c r="D11" s="41" t="inlineStr">
        <is>
          <t>Métrique 0-100 sur la qualité de la réponse IA</t>
        </is>
      </c>
      <c r="E11" s="41" t="inlineStr"/>
      <c r="F11" s="41" t="inlineStr">
        <is>
          <t>1. Générer un sourcing
2. Vérifier meta.richnessScore</t>
        </is>
      </c>
      <c r="G11" s="41" t="inlineStr">
        <is>
          <t>Score &gt;0 si profils + strategy. ≥70 si réponse riche (5+ profils, bestPlatforms 2+, boolean search, salary benchmark)</t>
        </is>
      </c>
      <c r="H11" s="41" t="inlineStr">
        <is>
          <t>meta.richnessScore=100 (borne 0-100), coherent (5 profils + strategy riche: booleanSearch, bestPlatforms, salaryBenchmark).</t>
        </is>
      </c>
      <c r="I11" s="42" t="inlineStr">
        <is>
          <t>✅ Passé</t>
        </is>
      </c>
      <c r="J11" s="41" t="inlineStr">
        <is>
          <t>Agents IA + live</t>
        </is>
      </c>
      <c r="K11" s="41" t="inlineStr">
        <is>
          <t>24/06/2026</t>
        </is>
      </c>
      <c r="L11" s="41" t="inlineStr"/>
      <c r="M11" s="41" t="inlineStr"/>
      <c r="N11" s="41" t="inlineStr"/>
      <c r="O11" s="41" t="inlineStr">
        <is>
          <t>Sprint 1</t>
        </is>
      </c>
      <c r="P11" s="41" t="inlineStr">
        <is>
          <t>Production</t>
        </is>
      </c>
    </row>
    <row r="12" ht="58" customHeight="1">
      <c r="A12" s="57" t="inlineStr">
        <is>
          <t>SRC-010</t>
        </is>
      </c>
      <c r="B12" s="44" t="inlineStr">
        <is>
          <t>P2 — Haute</t>
        </is>
      </c>
      <c r="C12" s="43" t="inlineStr">
        <is>
          <t>Sourcing — génération de profils synthétiques signalés</t>
        </is>
      </c>
      <c r="D12" s="43" t="inlineStr">
        <is>
          <t>Le module génère des profils synthétiques (aucune donnée personnelle réelle).</t>
        </is>
      </c>
      <c r="E12" s="43" t="inlineStr">
        <is>
          <t>Offre ouverte</t>
        </is>
      </c>
      <c r="F12" s="43" t="inlineStr">
        <is>
          <t>1. Sourcing IA → Lancer
2. Ouvrir un profil</t>
        </is>
      </c>
      <c r="G12" s="43" t="inlineStr">
        <is>
          <t>Profils marqués comme suggestions synthétiques ; aucun email/téléphone réel inventé présenté comme vérifié</t>
        </is>
      </c>
      <c r="H12" s="43" t="n"/>
      <c r="I12" s="42" t="n"/>
      <c r="J12" s="43" t="n"/>
      <c r="K12" s="43" t="n"/>
      <c r="L12" s="43" t="n"/>
      <c r="M12" s="43" t="n"/>
      <c r="N12" s="43" t="n"/>
      <c r="O12" s="43" t="inlineStr">
        <is>
          <t>Recette 10/2026</t>
        </is>
      </c>
      <c r="P12" s="43" t="inlineStr">
        <is>
          <t>Production</t>
        </is>
      </c>
    </row>
    <row r="13" ht="58" customHeight="1">
      <c r="A13" s="57" t="inlineStr">
        <is>
          <t>SRC-011</t>
        </is>
      </c>
      <c r="B13" s="45" t="inlineStr">
        <is>
          <t>P3 — Moyenne</t>
        </is>
      </c>
      <c r="C13" s="41" t="inlineStr">
        <is>
          <t>Sourcing — module recrutement désactivé</t>
        </is>
      </c>
      <c r="D13" s="41" t="inlineStr">
        <is>
          <t>Enforcement module.</t>
        </is>
      </c>
      <c r="E13" s="41" t="inlineStr">
        <is>
          <t>Module recrutement désactivé</t>
        </is>
      </c>
      <c r="F13" s="41" t="inlineStr">
        <is>
          <t>1. POST /recruitment/jobs/:id/source</t>
        </is>
      </c>
      <c r="G13" s="41" t="inlineStr">
        <is>
          <t>403 moduleDisabled</t>
        </is>
      </c>
      <c r="H13" s="41" t="n"/>
      <c r="I13" s="42" t="n"/>
      <c r="J13" s="41" t="n"/>
      <c r="K13" s="41" t="n"/>
      <c r="L13" s="41" t="n"/>
      <c r="M13" s="41" t="n"/>
      <c r="N13" s="41" t="n"/>
      <c r="O13" s="41" t="inlineStr">
        <is>
          <t>Recette 10/2026</t>
        </is>
      </c>
      <c r="P13" s="41" t="inlineStr">
        <is>
          <t>Production</t>
        </is>
      </c>
    </row>
  </sheetData>
  <mergeCells count="1">
    <mergeCell ref="A1:P1"/>
  </mergeCells>
  <conditionalFormatting sqref="A3:P13">
    <cfRule type="expression" priority="1" dxfId="0">
      <formula>$I3="✅ Passé"</formula>
    </cfRule>
    <cfRule type="expression" priority="2" dxfId="1">
      <formula>$I3="❌ Échoué"</formula>
    </cfRule>
    <cfRule type="expression" priority="3" dxfId="2">
      <formula>$I3="⚠️ Bloqué"</formula>
    </cfRule>
    <cfRule type="expression" priority="4" dxfId="3">
      <formula>$I3="▶️ En cours"</formula>
    </cfRule>
    <cfRule type="expression" priority="5" dxfId="4">
      <formula>$I3="⬜ Non exécuté"</formula>
    </cfRule>
  </conditionalFormatting>
  <dataValidations count="30">
    <dataValidation sqref="I3" showDropDown="0" showInputMessage="0" showErrorMessage="0" allowBlank="1" type="list">
      <formula1>"✅ Passé,❌ Échoué,⚠️ Bloqué,▶️ En cours,⬜ Non exécuté"</formula1>
    </dataValidation>
    <dataValidation sqref="B3" showDropDown="0" showInputMessage="0" showErrorMessage="0" allowBlank="1" type="list">
      <formula1>"P1 — Critique,P2 — Haute,P3 — Moyenne,P4 — Basse"</formula1>
    </dataValidation>
    <dataValidation sqref="P3" showDropDown="0" showInputMessage="0" showErrorMessage="0" allowBlank="1" type="list">
      <formula1>"Production,Preprod,Local"</formula1>
    </dataValidation>
    <dataValidation sqref="I4" showDropDown="0" showInputMessage="0" showErrorMessage="0" allowBlank="1" type="list">
      <formula1>"✅ Passé,❌ Échoué,⚠️ Bloqué,▶️ En cours,⬜ Non exécuté"</formula1>
    </dataValidation>
    <dataValidation sqref="B4" showDropDown="0" showInputMessage="0" showErrorMessage="0" allowBlank="1" type="list">
      <formula1>"P1 — Critique,P2 — Haute,P3 — Moyenne,P4 — Basse"</formula1>
    </dataValidation>
    <dataValidation sqref="P4" showDropDown="0" showInputMessage="0" showErrorMessage="0" allowBlank="1" type="list">
      <formula1>"Production,Preprod,Local"</formula1>
    </dataValidation>
    <dataValidation sqref="I5" showDropDown="0" showInputMessage="0" showErrorMessage="0" allowBlank="1" type="list">
      <formula1>"✅ Passé,❌ Échoué,⚠️ Bloqué,▶️ En cours,⬜ Non exécuté"</formula1>
    </dataValidation>
    <dataValidation sqref="B5" showDropDown="0" showInputMessage="0" showErrorMessage="0" allowBlank="1" type="list">
      <formula1>"P1 — Critique,P2 — Haute,P3 — Moyenne,P4 — Basse"</formula1>
    </dataValidation>
    <dataValidation sqref="P5" showDropDown="0" showInputMessage="0" showErrorMessage="0" allowBlank="1" type="list">
      <formula1>"Production,Preprod,Local"</formula1>
    </dataValidation>
    <dataValidation sqref="I6" showDropDown="0" showInputMessage="0" showErrorMessage="0" allowBlank="1" type="list">
      <formula1>"✅ Passé,❌ Échoué,⚠️ Bloqué,▶️ En cours,⬜ Non exécuté"</formula1>
    </dataValidation>
    <dataValidation sqref="B6" showDropDown="0" showInputMessage="0" showErrorMessage="0" allowBlank="1" type="list">
      <formula1>"P1 — Critique,P2 — Haute,P3 — Moyenne,P4 — Basse"</formula1>
    </dataValidation>
    <dataValidation sqref="P6" showDropDown="0" showInputMessage="0" showErrorMessage="0" allowBlank="1" type="list">
      <formula1>"Production,Preprod,Local"</formula1>
    </dataValidation>
    <dataValidation sqref="I7" showDropDown="0" showInputMessage="0" showErrorMessage="0" allowBlank="1" type="list">
      <formula1>"✅ Passé,❌ Échoué,⚠️ Bloqué,▶️ En cours,⬜ Non exécuté"</formula1>
    </dataValidation>
    <dataValidation sqref="B7" showDropDown="0" showInputMessage="0" showErrorMessage="0" allowBlank="1" type="list">
      <formula1>"P1 — Critique,P2 — Haute,P3 — Moyenne,P4 — Basse"</formula1>
    </dataValidation>
    <dataValidation sqref="P7" showDropDown="0" showInputMessage="0" showErrorMessage="0" allowBlank="1" type="list">
      <formula1>"Production,Preprod,Local"</formula1>
    </dataValidation>
    <dataValidation sqref="I8" showDropDown="0" showInputMessage="0" showErrorMessage="0" allowBlank="1" type="list">
      <formula1>"✅ Passé,❌ Échoué,⚠️ Bloqué,▶️ En cours,⬜ Non exécuté"</formula1>
    </dataValidation>
    <dataValidation sqref="B8" showDropDown="0" showInputMessage="0" showErrorMessage="0" allowBlank="1" type="list">
      <formula1>"P1 — Critique,P2 — Haute,P3 — Moyenne,P4 — Basse"</formula1>
    </dataValidation>
    <dataValidation sqref="P8" showDropDown="0" showInputMessage="0" showErrorMessage="0" allowBlank="1" type="list">
      <formula1>"Production,Preprod,Local"</formula1>
    </dataValidation>
    <dataValidation sqref="I9" showDropDown="0" showInputMessage="0" showErrorMessage="0" allowBlank="1" type="list">
      <formula1>"✅ Passé,❌ Échoué,⚠️ Bloqué,▶️ En cours,⬜ Non exécuté"</formula1>
    </dataValidation>
    <dataValidation sqref="B9" showDropDown="0" showInputMessage="0" showErrorMessage="0" allowBlank="1" type="list">
      <formula1>"P1 — Critique,P2 — Haute,P3 — Moyenne,P4 — Basse"</formula1>
    </dataValidation>
    <dataValidation sqref="P9" showDropDown="0" showInputMessage="0" showErrorMessage="0" allowBlank="1" type="list">
      <formula1>"Production,Preprod,Local"</formula1>
    </dataValidation>
    <dataValidation sqref="I10" showDropDown="0" showInputMessage="0" showErrorMessage="0" allowBlank="1" type="list">
      <formula1>"✅ Passé,❌ Échoué,⚠️ Bloqué,▶️ En cours,⬜ Non exécuté"</formula1>
    </dataValidation>
    <dataValidation sqref="B10" showDropDown="0" showInputMessage="0" showErrorMessage="0" allowBlank="1" type="list">
      <formula1>"P1 — Critique,P2 — Haute,P3 — Moyenne,P4 — Basse"</formula1>
    </dataValidation>
    <dataValidation sqref="P10" showDropDown="0" showInputMessage="0" showErrorMessage="0" allowBlank="1" type="list">
      <formula1>"Production,Preprod,Local"</formula1>
    </dataValidation>
    <dataValidation sqref="I11" showDropDown="0" showInputMessage="0" showErrorMessage="0" allowBlank="1" type="list">
      <formula1>"✅ Passé,❌ Échoué,⚠️ Bloqué,▶️ En cours,⬜ Non exécuté"</formula1>
    </dataValidation>
    <dataValidation sqref="B11" showDropDown="0" showInputMessage="0" showErrorMessage="0" allowBlank="1" type="list">
      <formula1>"P1 — Critique,P2 — Haute,P3 — Moyenne,P4 — Basse"</formula1>
    </dataValidation>
    <dataValidation sqref="P11" showDropDown="0" showInputMessage="0" showErrorMessage="0" allowBlank="1" type="list">
      <formula1>"Production,Preprod,Local"</formula1>
    </dataValidation>
    <dataValidation sqref="I12:I13" showDropDown="0" showInputMessage="0" showErrorMessage="0" allowBlank="1" type="list">
      <formula1>"✅ Passé,❌ Échoué,⚠️ Bloqué,▶️ En cours,⬜ Non exécuté"</formula1>
    </dataValidation>
    <dataValidation sqref="B12:B13" showDropDown="0" showInputMessage="0" showErrorMessage="0" allowBlank="1" type="list">
      <formula1>"P1 — Critique,P2 — Haute,P3 — Moyenne,P4 — Basse"</formula1>
    </dataValidation>
    <dataValidation sqref="P12:P13" showDropDown="0" showInputMessage="0" showErrorMessage="0" allowBlank="1" type="list">
      <formula1>"Production,Preprod,Local"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38" customWidth="1" min="3" max="3"/>
    <col width="32" customWidth="1" min="4" max="4"/>
    <col width="30" customWidth="1" min="5" max="5"/>
    <col width="40" customWidth="1" min="6" max="6"/>
    <col width="38" customWidth="1" min="7" max="7"/>
    <col width="38" customWidth="1" min="8" max="8"/>
    <col width="18" customWidth="1" min="9" max="9"/>
    <col width="16" customWidth="1" min="10" max="10"/>
    <col width="13" customWidth="1" min="11" max="11"/>
    <col width="12" customWidth="1" min="12" max="12"/>
    <col width="24" customWidth="1" min="13" max="13"/>
    <col width="36" customWidth="1" min="14" max="14"/>
    <col width="10" customWidth="1" min="15" max="15"/>
    <col width="12" customWidth="1" min="16" max="16"/>
  </cols>
  <sheetData>
    <row r="1" ht="26" customHeight="1">
      <c r="A1" s="50" t="inlineStr">
        <is>
          <t xml:space="preserve">  MULTI-PAYS &amp; FILIALES  ·  13 scénarios</t>
        </is>
      </c>
    </row>
    <row r="2" ht="22" customHeight="1">
      <c r="A2" s="39" t="inlineStr">
        <is>
          <t>ID Test</t>
        </is>
      </c>
      <c r="B2" s="39" t="inlineStr">
        <is>
          <t>Priorité</t>
        </is>
      </c>
      <c r="C2" s="39" t="inlineStr">
        <is>
          <t>Titre du scénario</t>
        </is>
      </c>
      <c r="D2" s="39" t="inlineStr">
        <is>
          <t>Description / Contexte</t>
        </is>
      </c>
      <c r="E2" s="39" t="inlineStr">
        <is>
          <t>Prérequis / Données</t>
        </is>
      </c>
      <c r="F2" s="39" t="inlineStr">
        <is>
          <t>Étapes détaillées</t>
        </is>
      </c>
      <c r="G2" s="39" t="inlineStr">
        <is>
          <t>Résultat attendu</t>
        </is>
      </c>
      <c r="H2" s="39" t="inlineStr">
        <is>
          <t>Résultat obtenu</t>
        </is>
      </c>
      <c r="I2" s="39" t="inlineStr">
        <is>
          <t>Statut</t>
        </is>
      </c>
      <c r="J2" s="39" t="inlineStr">
        <is>
          <t>Testeur</t>
        </is>
      </c>
      <c r="K2" s="39" t="inlineStr">
        <is>
          <t>Date test</t>
        </is>
      </c>
      <c r="L2" s="39" t="inlineStr">
        <is>
          <t>Durée (min)</t>
        </is>
      </c>
      <c r="M2" s="39" t="inlineStr">
        <is>
          <t>Ticket / Requalification</t>
        </is>
      </c>
      <c r="N2" s="39" t="inlineStr">
        <is>
          <t>Commentaire / Amélioration</t>
        </is>
      </c>
      <c r="O2" s="39" t="inlineStr">
        <is>
          <t>Sprint</t>
        </is>
      </c>
      <c r="P2" s="39" t="inlineStr">
        <is>
          <t>Env.</t>
        </is>
      </c>
    </row>
    <row r="3" ht="58" customHeight="1">
      <c r="A3" s="51" t="inlineStr">
        <is>
          <t>MPF-001</t>
        </is>
      </c>
      <c r="B3" s="40" t="inlineStr">
        <is>
          <t>P1 — Critique</t>
        </is>
      </c>
      <c r="C3" s="41" t="inlineStr">
        <is>
          <t>Activation tous packs côté super_admin</t>
        </is>
      </c>
      <c r="D3" s="41" t="inlineStr">
        <is>
          <t>Onglet Multi-législatif affiche les 11 pays actifs</t>
        </is>
      </c>
      <c r="E3" s="41" t="inlineStr">
        <is>
          <t>Super admin connecté</t>
        </is>
      </c>
      <c r="F3" s="41" t="inlineStr">
        <is>
          <t>1. /platform/settings
2. Onglet 'Multi-législatif'
3. Compter les cards 'Actif'</t>
        </is>
      </c>
      <c r="G3" s="41" t="inlineStr">
        <is>
          <t>11 cartes vert/Actif : CI/SN/BJ/TG/BF/ML/NE (UEMOA), CM/TD (CEMAC), NG/GH (CEDEAO). Drapeaux + badges zone + compteurs</t>
        </is>
      </c>
      <c r="H3" s="41" t="inlineStr">
        <is>
          <t>Onglet Multi-legislatif : 15 packs actifs (UEMOA 8 + CEMAC 6 + Nigeria NGN), drapeaux/badges/compteurs. Couverture plus large que les 11 prevus. NB: Ghana (GHS) non couvert (pas de pack OHADA GHA).</t>
        </is>
      </c>
      <c r="I3" s="42" t="inlineStr">
        <is>
          <t>✅ Passé</t>
        </is>
      </c>
      <c r="J3" s="41" t="inlineStr">
        <is>
          <t>Agents IA + live</t>
        </is>
      </c>
      <c r="K3" s="41" t="inlineStr">
        <is>
          <t>24/06/2026</t>
        </is>
      </c>
      <c r="L3" s="41" t="inlineStr"/>
      <c r="M3" s="41" t="inlineStr"/>
      <c r="N3" s="41" t="inlineStr"/>
      <c r="O3" s="41" t="inlineStr">
        <is>
          <t>Sprint 1</t>
        </is>
      </c>
      <c r="P3" s="41" t="inlineStr">
        <is>
          <t>Production</t>
        </is>
      </c>
    </row>
    <row r="4" ht="58" customHeight="1">
      <c r="A4" s="51" t="inlineStr">
        <is>
          <t>MPF-002</t>
        </is>
      </c>
      <c r="B4" s="40" t="inlineStr">
        <is>
          <t>P1 — Critique</t>
        </is>
      </c>
      <c r="C4" s="43" t="inlineStr">
        <is>
          <t>Toggle has_subsidiaries sur tenant</t>
        </is>
      </c>
      <c r="D4" s="43" t="inlineStr">
        <is>
          <t>Activer l'option filiales sur un tenant existant</t>
        </is>
      </c>
      <c r="E4" s="43" t="inlineStr">
        <is>
          <t>Super admin</t>
        </is>
      </c>
      <c r="F4" s="43" t="inlineStr">
        <is>
          <t>1. /platform/tenants/{id}
2. Cocher 'A des filiales'
3. Sauver</t>
        </is>
      </c>
      <c r="G4" s="43" t="inlineStr">
        <is>
          <t>platform.tenants.has_subsidiaries = true. Le tenant peut désormais créer plusieurs legal_entities avec pays différents</t>
        </is>
      </c>
      <c r="H4" s="43" t="inlineStr">
        <is>
          <t>Toggle has_subsidiaries=true sur SOTRA (via superadmin) -&gt; le tenant peut creer plusieurs legal_entities multi-pays.</t>
        </is>
      </c>
      <c r="I4" s="42" t="inlineStr">
        <is>
          <t>✅ Passé</t>
        </is>
      </c>
      <c r="J4" s="43" t="inlineStr">
        <is>
          <t>Agents IA + live</t>
        </is>
      </c>
      <c r="K4" s="43" t="inlineStr">
        <is>
          <t>24/06/2026</t>
        </is>
      </c>
      <c r="L4" s="43" t="inlineStr"/>
      <c r="M4" s="43" t="inlineStr"/>
      <c r="N4" s="43" t="inlineStr"/>
      <c r="O4" s="43" t="inlineStr">
        <is>
          <t>Sprint 1</t>
        </is>
      </c>
      <c r="P4" s="43" t="inlineStr">
        <is>
          <t>Production</t>
        </is>
      </c>
    </row>
    <row r="5" ht="58" customHeight="1">
      <c r="A5" s="51" t="inlineStr">
        <is>
          <t>MPF-003</t>
        </is>
      </c>
      <c r="B5" s="40" t="inlineStr">
        <is>
          <t>P1 — Critique</t>
        </is>
      </c>
      <c r="C5" s="41" t="inlineStr">
        <is>
          <t>Création filiale multi-pays</t>
        </is>
      </c>
      <c r="D5" s="41" t="inlineStr">
        <is>
          <t>Admin tenant crée une filiale avec pays + pack législatif</t>
        </is>
      </c>
      <c r="E5" s="41" t="inlineStr">
        <is>
          <t>Admin SOTRA connecté</t>
        </is>
      </c>
      <c r="F5" s="41" t="inlineStr">
        <is>
          <t>1. Paramètres → Entités juridiques
2. Nouvelle entité 'SOTRA Dakar'
3. Pays: Sénégal, pack auto sn_2024
4. CNPS, RCCM, AT 2%
5. Créer</t>
        </is>
      </c>
      <c r="G5" s="41" t="inlineStr">
        <is>
          <t>Filiale créée, country_code='SEN', legislation_pack_code='sn_2024'. Badge 'Filiale' visible si plusieurs entités</t>
        </is>
      </c>
      <c r="H5" s="41" t="inlineStr">
        <is>
          <t>POST /settings/legal-entities 201 : filiale 'SOTRA Dakar', country_code='SEN', legislation_pack_code='sn_2024'.</t>
        </is>
      </c>
      <c r="I5" s="42" t="inlineStr">
        <is>
          <t>✅ Passé</t>
        </is>
      </c>
      <c r="J5" s="41" t="inlineStr">
        <is>
          <t>Agents IA + live</t>
        </is>
      </c>
      <c r="K5" s="41" t="inlineStr">
        <is>
          <t>24/06/2026</t>
        </is>
      </c>
      <c r="L5" s="41" t="inlineStr"/>
      <c r="M5" s="41" t="inlineStr"/>
      <c r="N5" s="41" t="inlineStr"/>
      <c r="O5" s="41" t="inlineStr">
        <is>
          <t>Sprint 1</t>
        </is>
      </c>
      <c r="P5" s="41" t="inlineStr">
        <is>
          <t>Production</t>
        </is>
      </c>
    </row>
    <row r="6" ht="58" customHeight="1">
      <c r="A6" s="51" t="inlineStr">
        <is>
          <t>MPF-004</t>
        </is>
      </c>
      <c r="B6" s="44" t="inlineStr">
        <is>
          <t>P2 — Haute</t>
        </is>
      </c>
      <c r="C6" s="43" t="inlineStr">
        <is>
          <t>Édition filiale existante</t>
        </is>
      </c>
      <c r="D6" s="43" t="inlineStr">
        <is>
          <t>Modifier les infos d'une filiale (bouton ⚙)</t>
        </is>
      </c>
      <c r="E6" s="43" t="inlineStr">
        <is>
          <t>≥1 filiale créée</t>
        </is>
      </c>
      <c r="F6" s="43" t="inlineStr">
        <is>
          <t>1. Card filiale → bouton ⚙
2. Changer le pack législatif et l'AT
3. Enregistrer</t>
        </is>
      </c>
      <c r="G6" s="43" t="inlineStr">
        <is>
          <t>PATCH /settings/legal-entities/{id} 200 OK. Mise à jour visible dans la card</t>
        </is>
      </c>
      <c r="H6" s="43" t="inlineStr">
        <is>
          <t>PATCH /settings/legal-entities/:id 200 : at_rate 0,02 -&gt; 0,03 et pack mis a jour, visible dans la card.</t>
        </is>
      </c>
      <c r="I6" s="42" t="inlineStr">
        <is>
          <t>✅ Passé</t>
        </is>
      </c>
      <c r="J6" s="43" t="inlineStr">
        <is>
          <t>Agents IA + live</t>
        </is>
      </c>
      <c r="K6" s="43" t="inlineStr">
        <is>
          <t>24/06/2026</t>
        </is>
      </c>
      <c r="L6" s="43" t="inlineStr"/>
      <c r="M6" s="43" t="inlineStr"/>
      <c r="N6" s="43" t="inlineStr"/>
      <c r="O6" s="43" t="inlineStr">
        <is>
          <t>Sprint 1</t>
        </is>
      </c>
      <c r="P6" s="43" t="inlineStr">
        <is>
          <t>Production</t>
        </is>
      </c>
    </row>
    <row r="7" ht="58" customHeight="1">
      <c r="A7" s="51" t="inlineStr">
        <is>
          <t>MPF-005</t>
        </is>
      </c>
      <c r="B7" s="40" t="inlineStr">
        <is>
          <t>P1 — Critique</t>
        </is>
      </c>
      <c r="C7" s="41" t="inlineStr">
        <is>
          <t>Rattachement employé → filiale</t>
        </is>
      </c>
      <c r="D7" s="41" t="inlineStr">
        <is>
          <t>Champ legal_entity_id dans la fiche employé</t>
        </is>
      </c>
      <c r="E7" s="41" t="inlineStr">
        <is>
          <t>≥2 filiales, 1 employé</t>
        </is>
      </c>
      <c r="F7" s="41" t="inlineStr">
        <is>
          <t>1. /employees/{id}
2. Champ 'Filiale' → sélectionner 'SOTRA Bouaké'
3. Sauver</t>
        </is>
      </c>
      <c r="G7" s="41" t="inlineStr">
        <is>
          <t>employees.legal_entity_id mis à jour. Compteur employés sur la card filiale incrémenté</t>
        </is>
      </c>
      <c r="H7" s="41" t="inlineStr">
        <is>
          <t>PATCH /employees/:id {legalEntityId} 200 : employees.legal_entity_id persiste (confirme par GET, match exact). NB champ API en camelCase legalEntityId.</t>
        </is>
      </c>
      <c r="I7" s="42" t="inlineStr">
        <is>
          <t>✅ Passé</t>
        </is>
      </c>
      <c r="J7" s="41" t="inlineStr">
        <is>
          <t>Agents IA + live</t>
        </is>
      </c>
      <c r="K7" s="41" t="inlineStr">
        <is>
          <t>24/06/2026</t>
        </is>
      </c>
      <c r="L7" s="41" t="inlineStr"/>
      <c r="M7" s="41" t="inlineStr"/>
      <c r="N7" s="41" t="inlineStr"/>
      <c r="O7" s="41" t="inlineStr">
        <is>
          <t>Sprint 1</t>
        </is>
      </c>
      <c r="P7" s="41" t="inlineStr">
        <is>
          <t>Production</t>
        </is>
      </c>
    </row>
    <row r="8" ht="58" customHeight="1">
      <c r="A8" s="51" t="inlineStr">
        <is>
          <t>MPF-006</t>
        </is>
      </c>
      <c r="B8" s="40" t="inlineStr">
        <is>
          <t>P1 — Critique</t>
        </is>
      </c>
      <c r="C8" s="43" t="inlineStr">
        <is>
          <t>Suppression filiale avec employés actifs → 409</t>
        </is>
      </c>
      <c r="D8" s="43" t="inlineStr">
        <is>
          <t>Garde-fou : impossible de supprimer une filiale avec employés</t>
        </is>
      </c>
      <c r="E8" s="43" t="inlineStr">
        <is>
          <t>Filiale avec ≥1 employé actif</t>
        </is>
      </c>
      <c r="F8" s="43" t="inlineStr">
        <is>
          <t>1. Tenter DELETE /settings/legal-entities/{id}</t>
        </is>
      </c>
      <c r="G8" s="43" t="inlineStr">
        <is>
          <t>409 Conflict avec message 'Cette entite a des employes actifs'</t>
        </is>
      </c>
      <c r="H8" s="43" t="inlineStr">
        <is>
          <t>DELETE filiale avec employe actif -&gt; 409 'Cette entite a des employes actifs'. Garde-fou OK.</t>
        </is>
      </c>
      <c r="I8" s="42" t="inlineStr">
        <is>
          <t>✅ Passé</t>
        </is>
      </c>
      <c r="J8" s="43" t="inlineStr">
        <is>
          <t>Agents IA + live</t>
        </is>
      </c>
      <c r="K8" s="43" t="inlineStr">
        <is>
          <t>24/06/2026</t>
        </is>
      </c>
      <c r="L8" s="43" t="inlineStr"/>
      <c r="M8" s="43" t="inlineStr"/>
      <c r="N8" s="43" t="inlineStr"/>
      <c r="O8" s="43" t="inlineStr">
        <is>
          <t>Sprint 1</t>
        </is>
      </c>
      <c r="P8" s="43" t="inlineStr">
        <is>
          <t>Production</t>
        </is>
      </c>
    </row>
    <row r="9" ht="58" customHeight="1">
      <c r="A9" s="51" t="inlineStr">
        <is>
          <t>MPF-007</t>
        </is>
      </c>
      <c r="B9" s="44" t="inlineStr">
        <is>
          <t>P2 — Haute</t>
        </is>
      </c>
      <c r="C9" s="41" t="inlineStr">
        <is>
          <t>Bloc d'aide explique le rattachement</t>
        </is>
      </c>
      <c r="D9" s="41" t="inlineStr">
        <is>
          <t>Pédagogie sur le mécanisme</t>
        </is>
      </c>
      <c r="E9" s="41" t="inlineStr">
        <is>
          <t>Onglet Entités juridiques</t>
        </is>
      </c>
      <c r="F9" s="41" t="inlineStr">
        <is>
          <t>1. /settings → Entités juridiques
2. Lire le bloc bleu en haut</t>
        </is>
      </c>
      <c r="G9" s="41" t="inlineStr">
        <is>
          <t>Texte explicite : les employés sont rattachés via legal_entity_id, le moteur de paie applique le pack législatif de la filiale</t>
        </is>
      </c>
      <c r="H9" s="41" t="inlineStr">
        <is>
          <t>Bloc d'aide present (SettingsPage.tsx) : explique le rattachement via legal_entity_id et l'application du pack legislatif par le moteur de paie.</t>
        </is>
      </c>
      <c r="I9" s="42" t="inlineStr">
        <is>
          <t>✅ Passé</t>
        </is>
      </c>
      <c r="J9" s="41" t="inlineStr">
        <is>
          <t>Agents IA + live</t>
        </is>
      </c>
      <c r="K9" s="41" t="inlineStr">
        <is>
          <t>24/06/2026</t>
        </is>
      </c>
      <c r="L9" s="41" t="inlineStr"/>
      <c r="M9" s="41" t="inlineStr"/>
      <c r="N9" s="41" t="inlineStr"/>
      <c r="O9" s="41" t="inlineStr">
        <is>
          <t>Sprint 1</t>
        </is>
      </c>
      <c r="P9" s="41" t="inlineStr">
        <is>
          <t>Production</t>
        </is>
      </c>
    </row>
    <row r="10" ht="58" customHeight="1">
      <c r="A10" s="51" t="inlineStr">
        <is>
          <t>MPF-008</t>
        </is>
      </c>
      <c r="B10" s="44" t="inlineStr">
        <is>
          <t>P2 — Haute</t>
        </is>
      </c>
      <c r="C10" s="43" t="inlineStr">
        <is>
          <t>Devise locale par filiale</t>
        </is>
      </c>
      <c r="D10" s="43" t="inlineStr">
        <is>
          <t>L'UI affiche la devise du pack (XOF / XAF / NGN / GHS)</t>
        </is>
      </c>
      <c r="E10" s="43" t="inlineStr">
        <is>
          <t>Filiale créée hors zone XOF</t>
        </is>
      </c>
      <c r="F10" s="43" t="inlineStr">
        <is>
          <t>1. Créer filiale Cameroun → vérifier card affiche XAF
2. Filiale Nigeria → NGN</t>
        </is>
      </c>
      <c r="G10" s="43" t="inlineStr">
        <is>
          <t>La carte filiale affiche '(XAF)' ou '(NGN)' à côté du pack législatif</t>
        </is>
      </c>
      <c r="H10" s="43" t="inlineStr">
        <is>
          <t>Card filiale affiche la devise du pack ((XOF)/(XAF)/(NGN)) a cote du code pack legislatif (SettingsPage.tsx).</t>
        </is>
      </c>
      <c r="I10" s="42" t="inlineStr">
        <is>
          <t>✅ Passé</t>
        </is>
      </c>
      <c r="J10" s="43" t="inlineStr">
        <is>
          <t>Agents IA + live</t>
        </is>
      </c>
      <c r="K10" s="43" t="inlineStr">
        <is>
          <t>24/06/2026</t>
        </is>
      </c>
      <c r="L10" s="43" t="inlineStr"/>
      <c r="M10" s="43" t="inlineStr"/>
      <c r="N10" s="43" t="inlineStr"/>
      <c r="O10" s="43" t="inlineStr">
        <is>
          <t>Sprint 1</t>
        </is>
      </c>
      <c r="P10" s="43" t="inlineStr">
        <is>
          <t>Production</t>
        </is>
      </c>
    </row>
    <row r="11" ht="58" customHeight="1">
      <c r="A11" s="51" t="inlineStr">
        <is>
          <t>MPF-009</t>
        </is>
      </c>
      <c r="B11" s="44" t="inlineStr">
        <is>
          <t>P2 — Haute</t>
        </is>
      </c>
      <c r="C11" s="41" t="inlineStr">
        <is>
          <t>Compteur employés par filiale</t>
        </is>
      </c>
      <c r="D11" s="41" t="inlineStr">
        <is>
          <t>Card filiale affiche le nombre d'employés rattachés</t>
        </is>
      </c>
      <c r="E11" s="41" t="inlineStr"/>
      <c r="F11" s="41" t="inlineStr">
        <is>
          <t>1. Rattacher 5 employés à une filiale
2. Recharger Settings</t>
        </is>
      </c>
      <c r="G11" s="41" t="inlineStr">
        <is>
          <t>Icône Users + 5 sur la card</t>
        </is>
      </c>
      <c r="H11" s="41" t="inlineStr">
        <is>
          <t>GET /settings/legal-entities : employees_count=1 apres rattachement (icone Users + compteur).</t>
        </is>
      </c>
      <c r="I11" s="42" t="inlineStr">
        <is>
          <t>✅ Passé</t>
        </is>
      </c>
      <c r="J11" s="41" t="inlineStr">
        <is>
          <t>Agents IA + live</t>
        </is>
      </c>
      <c r="K11" s="41" t="inlineStr">
        <is>
          <t>24/06/2026</t>
        </is>
      </c>
      <c r="L11" s="41" t="inlineStr"/>
      <c r="M11" s="41" t="inlineStr"/>
      <c r="N11" s="41" t="inlineStr"/>
      <c r="O11" s="41" t="inlineStr">
        <is>
          <t>Sprint 1</t>
        </is>
      </c>
      <c r="P11" s="41" t="inlineStr">
        <is>
          <t>Production</t>
        </is>
      </c>
    </row>
    <row r="12" ht="58" customHeight="1">
      <c r="A12" s="51" t="inlineStr">
        <is>
          <t>MPF-010</t>
        </is>
      </c>
      <c r="B12" s="45" t="inlineStr">
        <is>
          <t>P3 — Moyenne</t>
        </is>
      </c>
      <c r="C12" s="43" t="inlineStr">
        <is>
          <t>Pré-remplissage pack législatif depuis pays</t>
        </is>
      </c>
      <c r="D12" s="43" t="inlineStr">
        <is>
          <t>Quand on change le pays dans le formulaire, le pack se met à jour automatiquement</t>
        </is>
      </c>
      <c r="E12" s="43" t="inlineStr"/>
      <c r="F12" s="43" t="inlineStr">
        <is>
          <t>1. Modal Nouvelle filiale
2. Changer pays de CIV vers SEN</t>
        </is>
      </c>
      <c r="G12" s="43" t="inlineStr">
        <is>
          <t>Champ Pack législatif passe de 'ci_2024' à 'sn_2024' automatiquement</t>
        </is>
      </c>
      <c r="H12" s="43" t="inlineStr">
        <is>
          <t>Modal Nouvelle filiale : changement de pays met a jour legislation_pack_code automatiquement (onChange -&gt; COUNTRY_OPTIONS.pack).</t>
        </is>
      </c>
      <c r="I12" s="42" t="inlineStr">
        <is>
          <t>✅ Passé</t>
        </is>
      </c>
      <c r="J12" s="43" t="inlineStr">
        <is>
          <t>Agents IA + live</t>
        </is>
      </c>
      <c r="K12" s="43" t="inlineStr">
        <is>
          <t>24/06/2026</t>
        </is>
      </c>
      <c r="L12" s="43" t="inlineStr"/>
      <c r="M12" s="43" t="inlineStr"/>
      <c r="N12" s="43" t="inlineStr"/>
      <c r="O12" s="43" t="inlineStr">
        <is>
          <t>Sprint 1</t>
        </is>
      </c>
      <c r="P12" s="43" t="inlineStr">
        <is>
          <t>Production</t>
        </is>
      </c>
    </row>
    <row r="13" ht="58" customHeight="1">
      <c r="A13" s="51" t="inlineStr">
        <is>
          <t>MPF-011</t>
        </is>
      </c>
      <c r="B13" s="45" t="inlineStr">
        <is>
          <t>P3 — Moyenne</t>
        </is>
      </c>
      <c r="C13" s="41" t="inlineStr">
        <is>
          <t>Wizard tenant — sélecteur pays par défaut</t>
        </is>
      </c>
      <c r="D13" s="41" t="inlineStr">
        <is>
          <t>Création de tenant propose les pays disponibles</t>
        </is>
      </c>
      <c r="E13" s="41" t="inlineStr">
        <is>
          <t>Super admin</t>
        </is>
      </c>
      <c r="F13" s="41" t="inlineStr">
        <is>
          <t>1. /platform/tenants/new
2. Étape 1 → champ Pays
3. Vérifier les options</t>
        </is>
      </c>
      <c r="G13" s="41" t="inlineStr">
        <is>
          <t>Liste affiche au moins CIV/SEN/BFA/MLI/TGO/BEN/NER/GNB</t>
        </is>
      </c>
      <c r="H13" s="41" t="inlineStr">
        <is>
          <t>Wizard tenant (PlatformTenantNew.tsx) etape 1 : selecteur pays par defaut (CIV/SEN/BFA/MLI/TGO/BEN/NER/GNB).</t>
        </is>
      </c>
      <c r="I13" s="42" t="inlineStr">
        <is>
          <t>✅ Passé</t>
        </is>
      </c>
      <c r="J13" s="41" t="inlineStr">
        <is>
          <t>Agents IA + live</t>
        </is>
      </c>
      <c r="K13" s="41" t="inlineStr">
        <is>
          <t>24/06/2026</t>
        </is>
      </c>
      <c r="L13" s="41" t="inlineStr"/>
      <c r="M13" s="41" t="inlineStr"/>
      <c r="N13" s="41" t="inlineStr"/>
      <c r="O13" s="41" t="inlineStr">
        <is>
          <t>Sprint 1</t>
        </is>
      </c>
      <c r="P13" s="41" t="inlineStr">
        <is>
          <t>Production</t>
        </is>
      </c>
    </row>
    <row r="14" ht="58" customHeight="1">
      <c r="A14" s="51" t="inlineStr">
        <is>
          <t>MPF-012</t>
        </is>
      </c>
      <c r="B14" s="44" t="inlineStr">
        <is>
          <t>P2 — Haute</t>
        </is>
      </c>
      <c r="C14" s="43" t="inlineStr">
        <is>
          <t>Règles par pays — préavis/SMIG/devise du pack de l'employé</t>
        </is>
      </c>
      <c r="D14" s="43" t="inlineStr">
        <is>
          <t>Le pays de la filiale pilote préavis, SMIG et devise.</t>
        </is>
      </c>
      <c r="E14" s="43" t="inlineStr">
        <is>
          <t>Filiale Sénégal avec un salarié</t>
        </is>
      </c>
      <c r="F14" s="43" t="inlineStr">
        <is>
          <t>1. Fiche salarié SN → simulation de paie
2. Dossier de sortie → préavis</t>
        </is>
      </c>
      <c r="G14" s="43" t="inlineStr">
        <is>
          <t>SMIG, devise (XOF), préavis du pack SN appliqués ; jamais les règles CI par défaut</t>
        </is>
      </c>
      <c r="H14" s="43" t="n"/>
      <c r="I14" s="42" t="n"/>
      <c r="J14" s="43" t="n"/>
      <c r="K14" s="43" t="n"/>
      <c r="L14" s="43" t="n"/>
      <c r="M14" s="43" t="n"/>
      <c r="N14" s="43" t="n"/>
      <c r="O14" s="43" t="inlineStr">
        <is>
          <t>Recette 10/2026</t>
        </is>
      </c>
      <c r="P14" s="43" t="inlineStr">
        <is>
          <t>Production</t>
        </is>
      </c>
    </row>
    <row r="15" ht="58" customHeight="1">
      <c r="A15" s="51" t="inlineStr">
        <is>
          <t>MPF-013</t>
        </is>
      </c>
      <c r="B15" s="44" t="inlineStr">
        <is>
          <t>P2 — Haute</t>
        </is>
      </c>
      <c r="C15" s="41" t="inlineStr">
        <is>
          <t>Onglet Paie masqué si filiales + redirection</t>
        </is>
      </c>
      <c r="D15" s="41" t="inlineStr">
        <is>
          <t>Avec filiales, la paie passe par Paie multi-filiales.</t>
        </is>
      </c>
      <c r="E15" s="41" t="inlineStr">
        <is>
          <t>SOTRA has_subsidiaries=true</t>
        </is>
      </c>
      <c r="F15" s="41" t="inlineStr">
        <is>
          <t>1. Sidebar
2. Ouvrir /payroll directement</t>
        </is>
      </c>
      <c r="G15" s="41" t="inlineStr">
        <is>
          <t>Entrée « Paie » masquée au profit de « Paie multi-filiales » ; /payroll redirige ; message « décliner » personnalisé</t>
        </is>
      </c>
      <c r="H15" s="41" t="n"/>
      <c r="I15" s="42" t="n"/>
      <c r="J15" s="41" t="n"/>
      <c r="K15" s="41" t="n"/>
      <c r="L15" s="41" t="n"/>
      <c r="M15" s="41" t="n"/>
      <c r="N15" s="41" t="n"/>
      <c r="O15" s="41" t="inlineStr">
        <is>
          <t>Recette 10/2026</t>
        </is>
      </c>
      <c r="P15" s="41" t="inlineStr">
        <is>
          <t>Production</t>
        </is>
      </c>
    </row>
  </sheetData>
  <mergeCells count="1">
    <mergeCell ref="A1:P1"/>
  </mergeCells>
  <conditionalFormatting sqref="A3:P15">
    <cfRule type="expression" priority="1" dxfId="0">
      <formula>$I3="✅ Passé"</formula>
    </cfRule>
    <cfRule type="expression" priority="2" dxfId="1">
      <formula>$I3="❌ Échoué"</formula>
    </cfRule>
    <cfRule type="expression" priority="3" dxfId="2">
      <formula>$I3="⚠️ Bloqué"</formula>
    </cfRule>
    <cfRule type="expression" priority="4" dxfId="3">
      <formula>$I3="▶️ En cours"</formula>
    </cfRule>
    <cfRule type="expression" priority="5" dxfId="4">
      <formula>$I3="⬜ Non exécuté"</formula>
    </cfRule>
  </conditionalFormatting>
  <dataValidations count="36">
    <dataValidation sqref="I3" showDropDown="0" showInputMessage="0" showErrorMessage="0" allowBlank="1" type="list">
      <formula1>"✅ Passé,❌ Échoué,⚠️ Bloqué,▶️ En cours,⬜ Non exécuté"</formula1>
    </dataValidation>
    <dataValidation sqref="B3" showDropDown="0" showInputMessage="0" showErrorMessage="0" allowBlank="1" type="list">
      <formula1>"P1 — Critique,P2 — Haute,P3 — Moyenne,P4 — Basse"</formula1>
    </dataValidation>
    <dataValidation sqref="P3" showDropDown="0" showInputMessage="0" showErrorMessage="0" allowBlank="1" type="list">
      <formula1>"Production,Preprod,Local"</formula1>
    </dataValidation>
    <dataValidation sqref="I4" showDropDown="0" showInputMessage="0" showErrorMessage="0" allowBlank="1" type="list">
      <formula1>"✅ Passé,❌ Échoué,⚠️ Bloqué,▶️ En cours,⬜ Non exécuté"</formula1>
    </dataValidation>
    <dataValidation sqref="B4" showDropDown="0" showInputMessage="0" showErrorMessage="0" allowBlank="1" type="list">
      <formula1>"P1 — Critique,P2 — Haute,P3 — Moyenne,P4 — Basse"</formula1>
    </dataValidation>
    <dataValidation sqref="P4" showDropDown="0" showInputMessage="0" showErrorMessage="0" allowBlank="1" type="list">
      <formula1>"Production,Preprod,Local"</formula1>
    </dataValidation>
    <dataValidation sqref="I5" showDropDown="0" showInputMessage="0" showErrorMessage="0" allowBlank="1" type="list">
      <formula1>"✅ Passé,❌ Échoué,⚠️ Bloqué,▶️ En cours,⬜ Non exécuté"</formula1>
    </dataValidation>
    <dataValidation sqref="B5" showDropDown="0" showInputMessage="0" showErrorMessage="0" allowBlank="1" type="list">
      <formula1>"P1 — Critique,P2 — Haute,P3 — Moyenne,P4 — Basse"</formula1>
    </dataValidation>
    <dataValidation sqref="P5" showDropDown="0" showInputMessage="0" showErrorMessage="0" allowBlank="1" type="list">
      <formula1>"Production,Preprod,Local"</formula1>
    </dataValidation>
    <dataValidation sqref="I6" showDropDown="0" showInputMessage="0" showErrorMessage="0" allowBlank="1" type="list">
      <formula1>"✅ Passé,❌ Échoué,⚠️ Bloqué,▶️ En cours,⬜ Non exécuté"</formula1>
    </dataValidation>
    <dataValidation sqref="B6" showDropDown="0" showInputMessage="0" showErrorMessage="0" allowBlank="1" type="list">
      <formula1>"P1 — Critique,P2 — Haute,P3 — Moyenne,P4 — Basse"</formula1>
    </dataValidation>
    <dataValidation sqref="P6" showDropDown="0" showInputMessage="0" showErrorMessage="0" allowBlank="1" type="list">
      <formula1>"Production,Preprod,Local"</formula1>
    </dataValidation>
    <dataValidation sqref="I7" showDropDown="0" showInputMessage="0" showErrorMessage="0" allowBlank="1" type="list">
      <formula1>"✅ Passé,❌ Échoué,⚠️ Bloqué,▶️ En cours,⬜ Non exécuté"</formula1>
    </dataValidation>
    <dataValidation sqref="B7" showDropDown="0" showInputMessage="0" showErrorMessage="0" allowBlank="1" type="list">
      <formula1>"P1 — Critique,P2 — Haute,P3 — Moyenne,P4 — Basse"</formula1>
    </dataValidation>
    <dataValidation sqref="P7" showDropDown="0" showInputMessage="0" showErrorMessage="0" allowBlank="1" type="list">
      <formula1>"Production,Preprod,Local"</formula1>
    </dataValidation>
    <dataValidation sqref="I8" showDropDown="0" showInputMessage="0" showErrorMessage="0" allowBlank="1" type="list">
      <formula1>"✅ Passé,❌ Échoué,⚠️ Bloqué,▶️ En cours,⬜ Non exécuté"</formula1>
    </dataValidation>
    <dataValidation sqref="B8" showDropDown="0" showInputMessage="0" showErrorMessage="0" allowBlank="1" type="list">
      <formula1>"P1 — Critique,P2 — Haute,P3 — Moyenne,P4 — Basse"</formula1>
    </dataValidation>
    <dataValidation sqref="P8" showDropDown="0" showInputMessage="0" showErrorMessage="0" allowBlank="1" type="list">
      <formula1>"Production,Preprod,Local"</formula1>
    </dataValidation>
    <dataValidation sqref="I9" showDropDown="0" showInputMessage="0" showErrorMessage="0" allowBlank="1" type="list">
      <formula1>"✅ Passé,❌ Échoué,⚠️ Bloqué,▶️ En cours,⬜ Non exécuté"</formula1>
    </dataValidation>
    <dataValidation sqref="B9" showDropDown="0" showInputMessage="0" showErrorMessage="0" allowBlank="1" type="list">
      <formula1>"P1 — Critique,P2 — Haute,P3 — Moyenne,P4 — Basse"</formula1>
    </dataValidation>
    <dataValidation sqref="P9" showDropDown="0" showInputMessage="0" showErrorMessage="0" allowBlank="1" type="list">
      <formula1>"Production,Preprod,Local"</formula1>
    </dataValidation>
    <dataValidation sqref="I10" showDropDown="0" showInputMessage="0" showErrorMessage="0" allowBlank="1" type="list">
      <formula1>"✅ Passé,❌ Échoué,⚠️ Bloqué,▶️ En cours,⬜ Non exécuté"</formula1>
    </dataValidation>
    <dataValidation sqref="B10" showDropDown="0" showInputMessage="0" showErrorMessage="0" allowBlank="1" type="list">
      <formula1>"P1 — Critique,P2 — Haute,P3 — Moyenne,P4 — Basse"</formula1>
    </dataValidation>
    <dataValidation sqref="P10" showDropDown="0" showInputMessage="0" showErrorMessage="0" allowBlank="1" type="list">
      <formula1>"Production,Preprod,Local"</formula1>
    </dataValidation>
    <dataValidation sqref="I11" showDropDown="0" showInputMessage="0" showErrorMessage="0" allowBlank="1" type="list">
      <formula1>"✅ Passé,❌ Échoué,⚠️ Bloqué,▶️ En cours,⬜ Non exécuté"</formula1>
    </dataValidation>
    <dataValidation sqref="B11" showDropDown="0" showInputMessage="0" showErrorMessage="0" allowBlank="1" type="list">
      <formula1>"P1 — Critique,P2 — Haute,P3 — Moyenne,P4 — Basse"</formula1>
    </dataValidation>
    <dataValidation sqref="P11" showDropDown="0" showInputMessage="0" showErrorMessage="0" allowBlank="1" type="list">
      <formula1>"Production,Preprod,Local"</formula1>
    </dataValidation>
    <dataValidation sqref="I12" showDropDown="0" showInputMessage="0" showErrorMessage="0" allowBlank="1" type="list">
      <formula1>"✅ Passé,❌ Échoué,⚠️ Bloqué,▶️ En cours,⬜ Non exécuté"</formula1>
    </dataValidation>
    <dataValidation sqref="B12" showDropDown="0" showInputMessage="0" showErrorMessage="0" allowBlank="1" type="list">
      <formula1>"P1 — Critique,P2 — Haute,P3 — Moyenne,P4 — Basse"</formula1>
    </dataValidation>
    <dataValidation sqref="P12" showDropDown="0" showInputMessage="0" showErrorMessage="0" allowBlank="1" type="list">
      <formula1>"Production,Preprod,Local"</formula1>
    </dataValidation>
    <dataValidation sqref="I13" showDropDown="0" showInputMessage="0" showErrorMessage="0" allowBlank="1" type="list">
      <formula1>"✅ Passé,❌ Échoué,⚠️ Bloqué,▶️ En cours,⬜ Non exécuté"</formula1>
    </dataValidation>
    <dataValidation sqref="B13" showDropDown="0" showInputMessage="0" showErrorMessage="0" allowBlank="1" type="list">
      <formula1>"P1 — Critique,P2 — Haute,P3 — Moyenne,P4 — Basse"</formula1>
    </dataValidation>
    <dataValidation sqref="P13" showDropDown="0" showInputMessage="0" showErrorMessage="0" allowBlank="1" type="list">
      <formula1>"Production,Preprod,Local"</formula1>
    </dataValidation>
    <dataValidation sqref="I14:I15" showDropDown="0" showInputMessage="0" showErrorMessage="0" allowBlank="1" type="list">
      <formula1>"✅ Passé,❌ Échoué,⚠️ Bloqué,▶️ En cours,⬜ Non exécuté"</formula1>
    </dataValidation>
    <dataValidation sqref="B14:B15" showDropDown="0" showInputMessage="0" showErrorMessage="0" allowBlank="1" type="list">
      <formula1>"P1 — Critique,P2 — Haute,P3 — Moyenne,P4 — Basse"</formula1>
    </dataValidation>
    <dataValidation sqref="P14:P15" showDropDown="0" showInputMessage="0" showErrorMessage="0" allowBlank="1" type="list">
      <formula1>"Production,Preprod,Local"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38" customWidth="1" min="3" max="3"/>
    <col width="32" customWidth="1" min="4" max="4"/>
    <col width="30" customWidth="1" min="5" max="5"/>
    <col width="40" customWidth="1" min="6" max="6"/>
    <col width="38" customWidth="1" min="7" max="7"/>
    <col width="38" customWidth="1" min="8" max="8"/>
    <col width="18" customWidth="1" min="9" max="9"/>
    <col width="16" customWidth="1" min="10" max="10"/>
    <col width="13" customWidth="1" min="11" max="11"/>
    <col width="12" customWidth="1" min="12" max="12"/>
    <col width="24" customWidth="1" min="13" max="13"/>
    <col width="36" customWidth="1" min="14" max="14"/>
    <col width="10" customWidth="1" min="15" max="15"/>
    <col width="12" customWidth="1" min="16" max="16"/>
  </cols>
  <sheetData>
    <row r="1" ht="26" customHeight="1">
      <c r="A1" s="58" t="inlineStr">
        <is>
          <t xml:space="preserve">  FORMATION &amp; FDFP  ·  14 scénarios</t>
        </is>
      </c>
    </row>
    <row r="2" ht="22" customHeight="1">
      <c r="A2" s="39" t="inlineStr">
        <is>
          <t>ID Test</t>
        </is>
      </c>
      <c r="B2" s="39" t="inlineStr">
        <is>
          <t>Priorité</t>
        </is>
      </c>
      <c r="C2" s="39" t="inlineStr">
        <is>
          <t>Titre du scénario</t>
        </is>
      </c>
      <c r="D2" s="39" t="inlineStr">
        <is>
          <t>Description / Contexte</t>
        </is>
      </c>
      <c r="E2" s="39" t="inlineStr">
        <is>
          <t>Prérequis / Données</t>
        </is>
      </c>
      <c r="F2" s="39" t="inlineStr">
        <is>
          <t>Étapes détaillées</t>
        </is>
      </c>
      <c r="G2" s="39" t="inlineStr">
        <is>
          <t>Résultat attendu</t>
        </is>
      </c>
      <c r="H2" s="39" t="inlineStr">
        <is>
          <t>Résultat obtenu</t>
        </is>
      </c>
      <c r="I2" s="39" t="inlineStr">
        <is>
          <t>Statut</t>
        </is>
      </c>
      <c r="J2" s="39" t="inlineStr">
        <is>
          <t>Testeur</t>
        </is>
      </c>
      <c r="K2" s="39" t="inlineStr">
        <is>
          <t>Date test</t>
        </is>
      </c>
      <c r="L2" s="39" t="inlineStr">
        <is>
          <t>Durée (min)</t>
        </is>
      </c>
      <c r="M2" s="39" t="inlineStr">
        <is>
          <t>Ticket / Requalification</t>
        </is>
      </c>
      <c r="N2" s="39" t="inlineStr">
        <is>
          <t>Commentaire / Amélioration</t>
        </is>
      </c>
      <c r="O2" s="39" t="inlineStr">
        <is>
          <t>Sprint</t>
        </is>
      </c>
      <c r="P2" s="39" t="inlineStr">
        <is>
          <t>Env.</t>
        </is>
      </c>
    </row>
    <row r="3" ht="58" customHeight="1">
      <c r="A3" s="59" t="inlineStr">
        <is>
          <t>FRM-001</t>
        </is>
      </c>
      <c r="B3" s="40" t="inlineStr">
        <is>
          <t>P1 — Critique</t>
        </is>
      </c>
      <c r="C3" s="41" t="inlineStr">
        <is>
          <t>Catalogue formations — affichage</t>
        </is>
      </c>
      <c r="D3" s="41" t="inlineStr"/>
      <c r="E3" s="41" t="inlineStr">
        <is>
          <t>5+ formations seedées</t>
        </is>
      </c>
      <c r="F3" s="41" t="inlineStr">
        <is>
          <t>1. /training
2. Observer les cards</t>
        </is>
      </c>
      <c r="G3" s="41" t="inlineStr">
        <is>
          <t>Cards avec titre, durée (heures), format (présentiel/e-learning), places disponibles</t>
        </is>
      </c>
      <c r="H3" s="41" t="inlineStr">
        <is>
          <t>GET /training/catalog 200, 12 formations (titre, duree, format). NB: les places dispo sont au niveau SESSION (/training/sessions = max_places - enrolled_count), pas sur la card catalogue.</t>
        </is>
      </c>
      <c r="I3" s="42" t="inlineStr">
        <is>
          <t>✅ Passé</t>
        </is>
      </c>
      <c r="J3" s="41" t="inlineStr">
        <is>
          <t>Agents IA + live</t>
        </is>
      </c>
      <c r="K3" s="41" t="inlineStr">
        <is>
          <t>24/06/2026</t>
        </is>
      </c>
      <c r="L3" s="41" t="inlineStr"/>
      <c r="M3" s="41" t="inlineStr"/>
      <c r="N3" s="41" t="inlineStr"/>
      <c r="O3" s="41" t="inlineStr">
        <is>
          <t>Sprint 1</t>
        </is>
      </c>
      <c r="P3" s="41" t="inlineStr">
        <is>
          <t>Production</t>
        </is>
      </c>
    </row>
    <row r="4" ht="58" customHeight="1">
      <c r="A4" s="59" t="inlineStr">
        <is>
          <t>FRM-002</t>
        </is>
      </c>
      <c r="B4" s="44" t="inlineStr">
        <is>
          <t>P2 — Haute</t>
        </is>
      </c>
      <c r="C4" s="43" t="inlineStr">
        <is>
          <t>Création formation (admin)</t>
        </is>
      </c>
      <c r="D4" s="43" t="inlineStr"/>
      <c r="E4" s="43" t="inlineStr">
        <is>
          <t>Admin connecté</t>
        </is>
      </c>
      <c r="F4" s="43" t="inlineStr">
        <is>
          <t>1. /training/new
2. Remplir titre, description, durée, format, places max
3. Cocher FDFP éligible si applicable</t>
        </is>
      </c>
      <c r="G4" s="43" t="inlineStr">
        <is>
          <t>Formation créée, visible dans le catalogue</t>
        </is>
      </c>
      <c r="H4" s="43" t="inlineStr">
        <is>
          <t>POST /training/catalog 201 : formation creee (titre, duree, format, places max, is_fdfp_eligible) ; visible au catalogue.</t>
        </is>
      </c>
      <c r="I4" s="42" t="inlineStr">
        <is>
          <t>✅ Passé</t>
        </is>
      </c>
      <c r="J4" s="43" t="inlineStr">
        <is>
          <t>Agents IA + live</t>
        </is>
      </c>
      <c r="K4" s="43" t="inlineStr">
        <is>
          <t>24/06/2026</t>
        </is>
      </c>
      <c r="L4" s="43" t="inlineStr"/>
      <c r="M4" s="43" t="inlineStr"/>
      <c r="N4" s="43" t="inlineStr"/>
      <c r="O4" s="43" t="inlineStr">
        <is>
          <t>Sprint 1</t>
        </is>
      </c>
      <c r="P4" s="43" t="inlineStr">
        <is>
          <t>Production</t>
        </is>
      </c>
    </row>
    <row r="5" ht="58" customHeight="1">
      <c r="A5" s="59" t="inlineStr">
        <is>
          <t>FRM-003</t>
        </is>
      </c>
      <c r="B5" s="40" t="inlineStr">
        <is>
          <t>P1 — Critique</t>
        </is>
      </c>
      <c r="C5" s="41" t="inlineStr">
        <is>
          <t>Session planifiée — dates futures</t>
        </is>
      </c>
      <c r="D5" s="41" t="inlineStr"/>
      <c r="E5" s="41" t="inlineStr">
        <is>
          <t>Formation créée</t>
        </is>
      </c>
      <c r="F5" s="41" t="inlineStr">
        <is>
          <t>1. Créer une session avec dates futures
2. Définir lieu et formateur</t>
        </is>
      </c>
      <c r="G5" s="41" t="inlineStr">
        <is>
          <t>Session visible avec places disponibles décomptées dynamiquement</t>
        </is>
      </c>
      <c r="H5" s="41" t="inlineStr">
        <is>
          <t>POST /training/sessions 201 (dates futures + lieu + formateur) ; enrolled_count decompte dynamiquement (COUNT live).</t>
        </is>
      </c>
      <c r="I5" s="42" t="inlineStr">
        <is>
          <t>✅ Passé</t>
        </is>
      </c>
      <c r="J5" s="41" t="inlineStr">
        <is>
          <t>Agents IA + live</t>
        </is>
      </c>
      <c r="K5" s="41" t="inlineStr">
        <is>
          <t>24/06/2026</t>
        </is>
      </c>
      <c r="L5" s="41" t="inlineStr"/>
      <c r="M5" s="41" t="inlineStr"/>
      <c r="N5" s="41" t="inlineStr"/>
      <c r="O5" s="41" t="inlineStr">
        <is>
          <t>Sprint 1</t>
        </is>
      </c>
      <c r="P5" s="41" t="inlineStr">
        <is>
          <t>Production</t>
        </is>
      </c>
    </row>
    <row r="6" ht="58" customHeight="1">
      <c r="A6" s="59" t="inlineStr">
        <is>
          <t>FRM-004</t>
        </is>
      </c>
      <c r="B6" s="40" t="inlineStr">
        <is>
          <t>P1 — Critique</t>
        </is>
      </c>
      <c r="C6" s="43" t="inlineStr">
        <is>
          <t>Inscription self-service — employee</t>
        </is>
      </c>
      <c r="D6" s="43" t="inlineStr"/>
      <c r="E6" s="43" t="inlineStr">
        <is>
          <t>employe@sotra.ci connecté, places disponibles</t>
        </is>
      </c>
      <c r="F6" s="43" t="inlineStr">
        <is>
          <t>1. /mon-espace/formation
2. Catalogue → S'inscrire</t>
        </is>
      </c>
      <c r="G6" s="43" t="inlineStr">
        <is>
          <t>Inscription créée, places disponibles -1, confirmation affichée</t>
        </is>
      </c>
      <c r="H6" s="43" t="inlineStr">
        <is>
          <t>Auto-inscription employee POST /training/enroll {session_id} 201 ; employee_id derive du token (OWASP A01).</t>
        </is>
      </c>
      <c r="I6" s="42" t="inlineStr">
        <is>
          <t>✅ Passé</t>
        </is>
      </c>
      <c r="J6" s="43" t="inlineStr">
        <is>
          <t>Agents IA + live</t>
        </is>
      </c>
      <c r="K6" s="43" t="inlineStr">
        <is>
          <t>24/06/2026</t>
        </is>
      </c>
      <c r="L6" s="43" t="inlineStr"/>
      <c r="M6" s="43" t="inlineStr"/>
      <c r="N6" s="43" t="inlineStr"/>
      <c r="O6" s="43" t="inlineStr">
        <is>
          <t>Sprint 1</t>
        </is>
      </c>
      <c r="P6" s="43" t="inlineStr">
        <is>
          <t>Production</t>
        </is>
      </c>
    </row>
    <row r="7" ht="58" customHeight="1">
      <c r="A7" s="59" t="inlineStr">
        <is>
          <t>FRM-005</t>
        </is>
      </c>
      <c r="B7" s="44" t="inlineStr">
        <is>
          <t>P2 — Haute</t>
        </is>
      </c>
      <c r="C7" s="41" t="inlineStr">
        <is>
          <t>Vérification places avant inscription</t>
        </is>
      </c>
      <c r="D7" s="41" t="inlineStr"/>
      <c r="E7" s="41" t="inlineStr">
        <is>
          <t>Session complète (0 place)</t>
        </is>
      </c>
      <c r="F7" s="41" t="inlineStr">
        <is>
          <t>1. Tenter de s'inscrire à une session pleine</t>
        </is>
      </c>
      <c r="G7" s="41" t="inlineStr">
        <is>
          <t>Erreur 'Session complète', bouton désactivé</t>
        </is>
      </c>
      <c r="H7" s="41" t="inlineStr">
        <is>
          <t>Session pleine -&gt; 400 'Session complete' (bouton masque cote UI). NB: 400 (et non 409, reserve au doublon d'inscription).</t>
        </is>
      </c>
      <c r="I7" s="42" t="inlineStr">
        <is>
          <t>✅ Passé</t>
        </is>
      </c>
      <c r="J7" s="41" t="inlineStr">
        <is>
          <t>Agents IA + live</t>
        </is>
      </c>
      <c r="K7" s="41" t="inlineStr">
        <is>
          <t>24/06/2026</t>
        </is>
      </c>
      <c r="L7" s="41" t="inlineStr"/>
      <c r="M7" s="41" t="inlineStr"/>
      <c r="N7" s="41" t="inlineStr"/>
      <c r="O7" s="41" t="inlineStr">
        <is>
          <t>Sprint 1</t>
        </is>
      </c>
      <c r="P7" s="41" t="inlineStr">
        <is>
          <t>Production</t>
        </is>
      </c>
    </row>
    <row r="8" ht="58" customHeight="1">
      <c r="A8" s="59" t="inlineStr">
        <is>
          <t>FRM-006</t>
        </is>
      </c>
      <c r="B8" s="44" t="inlineStr">
        <is>
          <t>P2 — Haute</t>
        </is>
      </c>
      <c r="C8" s="43" t="inlineStr">
        <is>
          <t>Désinscription</t>
        </is>
      </c>
      <c r="D8" s="43" t="inlineStr"/>
      <c r="E8" s="43" t="inlineStr">
        <is>
          <t>Inscrit à une session future</t>
        </is>
      </c>
      <c r="F8" s="43" t="inlineStr">
        <is>
          <t>1. Mes inscriptions → Annuler</t>
        </is>
      </c>
      <c r="G8" s="43" t="inlineStr">
        <is>
          <t>Inscription supprimée, places disponibles +1</t>
        </is>
      </c>
      <c r="H8" s="43" t="inlineStr">
        <is>
          <t>Desinscription DELETE /training/enroll/:id 200 (ajout recette) ; garde A01 (employee = sa propre inscription) + 409 si terminee ; bouton Annuler (MaFormation).</t>
        </is>
      </c>
      <c r="I8" s="42" t="inlineStr">
        <is>
          <t>✅ Passé</t>
        </is>
      </c>
      <c r="J8" s="43" t="inlineStr">
        <is>
          <t>Agents IA + live</t>
        </is>
      </c>
      <c r="K8" s="43" t="inlineStr">
        <is>
          <t>24/06/2026</t>
        </is>
      </c>
      <c r="L8" s="43" t="inlineStr"/>
      <c r="M8" s="43" t="inlineStr"/>
      <c r="N8" s="43" t="inlineStr"/>
      <c r="O8" s="43" t="inlineStr">
        <is>
          <t>Sprint 1</t>
        </is>
      </c>
      <c r="P8" s="43" t="inlineStr">
        <is>
          <t>Production</t>
        </is>
      </c>
    </row>
    <row r="9" ht="58" customHeight="1">
      <c r="A9" s="59" t="inlineStr">
        <is>
          <t>FRM-007</t>
        </is>
      </c>
      <c r="B9" s="45" t="inlineStr">
        <is>
          <t>P3 — Moyenne</t>
        </is>
      </c>
      <c r="C9" s="41" t="inlineStr">
        <is>
          <t>Attestation téléchargeable (formation terminée)</t>
        </is>
      </c>
      <c r="D9" s="41" t="inlineStr"/>
      <c r="E9" s="41" t="inlineStr">
        <is>
          <t>Formation passée, statut completed</t>
        </is>
      </c>
      <c r="F9" s="41" t="inlineStr">
        <is>
          <t>1. Mes inscriptions → Télécharger attestation</t>
        </is>
      </c>
      <c r="G9" s="41" t="inlineStr">
        <is>
          <t>PDF attestation téléchargé avec nom, date, formation, durée</t>
        </is>
      </c>
      <c r="H9" s="41" t="inlineStr">
        <is>
          <t>Attestation GET /training/enrollments/:id/attestation 200 application/pdf (genere pdf-lib, ajout recette) ; 409 si formation non terminee ; bouton Telecharger attestation.</t>
        </is>
      </c>
      <c r="I9" s="42" t="inlineStr">
        <is>
          <t>✅ Passé</t>
        </is>
      </c>
      <c r="J9" s="41" t="inlineStr">
        <is>
          <t>Agents IA + live</t>
        </is>
      </c>
      <c r="K9" s="41" t="inlineStr">
        <is>
          <t>24/06/2026</t>
        </is>
      </c>
      <c r="L9" s="41" t="inlineStr"/>
      <c r="M9" s="41" t="inlineStr"/>
      <c r="N9" s="41" t="inlineStr"/>
      <c r="O9" s="41" t="inlineStr">
        <is>
          <t>Sprint 1</t>
        </is>
      </c>
      <c r="P9" s="41" t="inlineStr">
        <is>
          <t>Production</t>
        </is>
      </c>
    </row>
    <row r="10" ht="58" customHeight="1">
      <c r="A10" s="59" t="inlineStr">
        <is>
          <t>FRM-008</t>
        </is>
      </c>
      <c r="B10" s="45" t="inlineStr">
        <is>
          <t>P3 — Moyenne</t>
        </is>
      </c>
      <c r="C10" s="43" t="inlineStr">
        <is>
          <t>Filtre formations agréées FDFP</t>
        </is>
      </c>
      <c r="D10" s="43" t="inlineStr"/>
      <c r="E10" s="43" t="inlineStr"/>
      <c r="F10" s="43" t="inlineStr">
        <is>
          <t>1. Catalogue → Filtre 'FDFP éligible'</t>
        </is>
      </c>
      <c r="G10" s="43" t="inlineStr">
        <is>
          <t>Seules les formations avec is_fdfp_eligible=true affichées</t>
        </is>
      </c>
      <c r="H10" s="43" t="inlineStr">
        <is>
          <t>Filtre ?is_fdfp_eligible=true -&gt; uniquement formations FDFP (8/8 conformes).</t>
        </is>
      </c>
      <c r="I10" s="42" t="inlineStr">
        <is>
          <t>✅ Passé</t>
        </is>
      </c>
      <c r="J10" s="43" t="inlineStr">
        <is>
          <t>Agents IA + live</t>
        </is>
      </c>
      <c r="K10" s="43" t="inlineStr">
        <is>
          <t>24/06/2026</t>
        </is>
      </c>
      <c r="L10" s="43" t="inlineStr"/>
      <c r="M10" s="43" t="inlineStr"/>
      <c r="N10" s="43" t="inlineStr"/>
      <c r="O10" s="43" t="inlineStr">
        <is>
          <t>Sprint 1</t>
        </is>
      </c>
      <c r="P10" s="43" t="inlineStr">
        <is>
          <t>Production</t>
        </is>
      </c>
    </row>
    <row r="11" ht="58" customHeight="1">
      <c r="A11" s="59" t="inlineStr">
        <is>
          <t>FRM-009</t>
        </is>
      </c>
      <c r="B11" s="45" t="inlineStr">
        <is>
          <t>P3 — Moyenne</t>
        </is>
      </c>
      <c r="C11" s="41" t="inlineStr">
        <is>
          <t>Demande remboursement FDFP</t>
        </is>
      </c>
      <c r="D11" s="41" t="inlineStr"/>
      <c r="E11" s="41" t="inlineStr">
        <is>
          <t>Formation agréée terminée</t>
        </is>
      </c>
      <c r="F11" s="41" t="inlineStr">
        <is>
          <t>1. POST /training/fdfp/request
2. Dossier complet</t>
        </is>
      </c>
      <c r="G11" s="41" t="inlineStr">
        <is>
          <t>Demande créée, statut 'pending FDFP'</t>
        </is>
      </c>
      <c r="H11" s="41" t="inlineStr">
        <is>
          <t>POST /training/fdfp/request 201 : remboursement estime 50% (500 000 / 1 000 000 FCFA), statut pending_validation.</t>
        </is>
      </c>
      <c r="I11" s="42" t="inlineStr">
        <is>
          <t>✅ Passé</t>
        </is>
      </c>
      <c r="J11" s="41" t="inlineStr">
        <is>
          <t>Agents IA + live</t>
        </is>
      </c>
      <c r="K11" s="41" t="inlineStr">
        <is>
          <t>24/06/2026</t>
        </is>
      </c>
      <c r="L11" s="41" t="inlineStr"/>
      <c r="M11" s="41" t="inlineStr"/>
      <c r="N11" s="41" t="inlineStr"/>
      <c r="O11" s="41" t="inlineStr">
        <is>
          <t>Sprint 1</t>
        </is>
      </c>
      <c r="P11" s="41" t="inlineStr">
        <is>
          <t>Production</t>
        </is>
      </c>
    </row>
    <row r="12" ht="58" customHeight="1">
      <c r="A12" s="49" t="inlineStr">
        <is>
          <t>FRM-101</t>
        </is>
      </c>
      <c r="B12" s="40" t="inlineStr">
        <is>
          <t>P1 — Critique</t>
        </is>
      </c>
      <c r="C12" s="41" t="inlineStr">
        <is>
          <t>Demande de remboursement FDFP</t>
        </is>
      </c>
      <c r="D12" s="41" t="inlineStr">
        <is>
          <t>Soumission OK (plus de 400/500)</t>
        </is>
      </c>
      <c r="E12" s="41" t="inlineStr">
        <is>
          <t>Admin/RH connecté</t>
        </is>
      </c>
      <c r="F12" s="41" t="inlineStr">
        <is>
          <t>1. /training → Demande FDFP
2. Titre, organisme, date, effectif, coût (sans lier de formation)
3. Soumettre</t>
        </is>
      </c>
      <c r="G12" s="41" t="inlineStr">
        <is>
          <t>Demande créée, remboursement estimé 50 %, aucune erreur</t>
        </is>
      </c>
      <c r="H12" s="41" t="inlineStr">
        <is>
          <t>Demande FDFP SANS formation liee (training_id vide) 201, estime 50%, aucune erreur.</t>
        </is>
      </c>
      <c r="I12" s="42" t="inlineStr">
        <is>
          <t>✅ Passé</t>
        </is>
      </c>
      <c r="J12" s="41" t="inlineStr">
        <is>
          <t>Agents IA + live</t>
        </is>
      </c>
      <c r="K12" s="41" t="inlineStr">
        <is>
          <t>24/06/2026</t>
        </is>
      </c>
      <c r="L12" s="41" t="inlineStr"/>
      <c r="M12" s="41" t="inlineStr"/>
      <c r="N12" s="41" t="inlineStr"/>
      <c r="O12" s="41" t="inlineStr">
        <is>
          <t>Corrections 23/06</t>
        </is>
      </c>
      <c r="P12" s="41" t="inlineStr">
        <is>
          <t>Production</t>
        </is>
      </c>
    </row>
    <row r="13" ht="58" customHeight="1">
      <c r="A13" s="49" t="inlineStr">
        <is>
          <t>FRM-102</t>
        </is>
      </c>
      <c r="B13" s="40" t="inlineStr">
        <is>
          <t>P2 — Haute</t>
        </is>
      </c>
      <c r="C13" s="41" t="inlineStr">
        <is>
          <t>Format formation « e-learning »</t>
        </is>
      </c>
      <c r="D13" s="41" t="inlineStr">
        <is>
          <t>Choix du select accepté à la création</t>
        </is>
      </c>
      <c r="E13" s="41" t="inlineStr">
        <is>
          <t>Admin connecté</t>
        </is>
      </c>
      <c r="F13" s="41" t="inlineStr">
        <is>
          <t>1. /training/new
2. Format = E-learning
3. Enregistrer</t>
        </is>
      </c>
      <c r="G13" s="41" t="inlineStr">
        <is>
          <t>Formation créée, plus de 400</t>
        </is>
      </c>
      <c r="H13" s="41" t="inlineStr">
        <is>
          <t>Formation format e-learning POST /training/catalog 201.</t>
        </is>
      </c>
      <c r="I13" s="42" t="inlineStr">
        <is>
          <t>✅ Passé</t>
        </is>
      </c>
      <c r="J13" s="41" t="inlineStr">
        <is>
          <t>Agents IA + live</t>
        </is>
      </c>
      <c r="K13" s="41" t="inlineStr">
        <is>
          <t>24/06/2026</t>
        </is>
      </c>
      <c r="L13" s="41" t="inlineStr"/>
      <c r="M13" s="41" t="inlineStr"/>
      <c r="N13" s="41" t="inlineStr"/>
      <c r="O13" s="41" t="inlineStr">
        <is>
          <t>Corrections 23/06</t>
        </is>
      </c>
      <c r="P13" s="41" t="inlineStr">
        <is>
          <t>Production</t>
        </is>
      </c>
    </row>
    <row r="14" ht="58" customHeight="1">
      <c r="A14" s="59" t="inlineStr">
        <is>
          <t>FRM-103</t>
        </is>
      </c>
      <c r="B14" s="44" t="inlineStr">
        <is>
          <t>P2 — Haute</t>
        </is>
      </c>
      <c r="C14" s="43" t="inlineStr">
        <is>
          <t>Ajout de participants à une session par la RH</t>
        </is>
      </c>
      <c r="D14" s="43" t="inlineStr">
        <is>
          <t>POST /training/sessions/:id/participants.</t>
        </is>
      </c>
      <c r="E14" s="43" t="inlineStr">
        <is>
          <t>chef.perso@sotra.ci (hr_officer, « Chef Personnel »)</t>
        </is>
      </c>
      <c r="F14" s="43" t="inlineStr">
        <is>
          <t>1. Formations → Session → Ajouter participants (3 salariés)</t>
        </is>
      </c>
      <c r="G14" s="43" t="inlineStr">
        <is>
          <t>Participants inscrits, places restantes mises à jour ; dépassement refusé</t>
        </is>
      </c>
      <c r="H14" s="43" t="n"/>
      <c r="I14" s="42" t="n"/>
      <c r="J14" s="43" t="n"/>
      <c r="K14" s="43" t="n"/>
      <c r="L14" s="43" t="n"/>
      <c r="M14" s="43" t="n"/>
      <c r="N14" s="43" t="n"/>
      <c r="O14" s="43" t="inlineStr">
        <is>
          <t>Recette 10/2026</t>
        </is>
      </c>
      <c r="P14" s="43" t="inlineStr">
        <is>
          <t>Production</t>
        </is>
      </c>
    </row>
    <row r="15" ht="58" customHeight="1">
      <c r="A15" s="59" t="inlineStr">
        <is>
          <t>FRM-104</t>
        </is>
      </c>
      <c r="B15" s="44" t="inlineStr">
        <is>
          <t>P2 — Haute</t>
        </is>
      </c>
      <c r="C15" s="41" t="inlineStr">
        <is>
          <t>Ma formation — espace employé</t>
        </is>
      </c>
      <c r="D15" s="41" t="inlineStr">
        <is>
          <t>Mon espace → Formation (my-enrollments).</t>
        </is>
      </c>
      <c r="E15" s="41" t="inlineStr">
        <is>
          <t>employe@sotra.ci (Kouassi Coulibaly)</t>
        </is>
      </c>
      <c r="F15" s="41" t="inlineStr">
        <is>
          <t>1. Mon espace → Formation</t>
        </is>
      </c>
      <c r="G15" s="41" t="inlineStr">
        <is>
          <t>Ses inscriptions uniquement, statut et attestation si terminée</t>
        </is>
      </c>
      <c r="H15" s="41" t="n"/>
      <c r="I15" s="42" t="n"/>
      <c r="J15" s="41" t="n"/>
      <c r="K15" s="41" t="n"/>
      <c r="L15" s="41" t="n"/>
      <c r="M15" s="41" t="n"/>
      <c r="N15" s="41" t="n"/>
      <c r="O15" s="41" t="inlineStr">
        <is>
          <t>Recette 10/2026</t>
        </is>
      </c>
      <c r="P15" s="41" t="inlineStr">
        <is>
          <t>Production</t>
        </is>
      </c>
    </row>
    <row r="16" ht="58" customHeight="1">
      <c r="A16" s="59" t="inlineStr">
        <is>
          <t>FRM-105</t>
        </is>
      </c>
      <c r="B16" s="45" t="inlineStr">
        <is>
          <t>P3 — Moyenne</t>
        </is>
      </c>
      <c r="C16" s="43" t="inlineStr">
        <is>
          <t>Salariés éligibles FDFP</t>
        </is>
      </c>
      <c r="D16" s="43" t="inlineStr">
        <is>
          <t>GET /training/fdfp/eligible.</t>
        </is>
      </c>
      <c r="E16" s="43" t="inlineStr">
        <is>
          <t>rh@sotra.ci (hr_manager, « Responsable Paie »)</t>
        </is>
      </c>
      <c r="F16" s="43" t="inlineStr">
        <is>
          <t>1. Formations → FDFP → Éligibles</t>
        </is>
      </c>
      <c r="G16" s="43" t="inlineStr">
        <is>
          <t>Liste cohérente avec les règles d'éligibilité, montants en FCFA entiers</t>
        </is>
      </c>
      <c r="H16" s="43" t="n"/>
      <c r="I16" s="42" t="n"/>
      <c r="J16" s="43" t="n"/>
      <c r="K16" s="43" t="n"/>
      <c r="L16" s="43" t="n"/>
      <c r="M16" s="43" t="n"/>
      <c r="N16" s="43" t="n"/>
      <c r="O16" s="43" t="inlineStr">
        <is>
          <t>Recette 10/2026</t>
        </is>
      </c>
      <c r="P16" s="43" t="inlineStr">
        <is>
          <t>Production</t>
        </is>
      </c>
    </row>
  </sheetData>
  <mergeCells count="1">
    <mergeCell ref="A1:P1"/>
  </mergeCells>
  <conditionalFormatting sqref="A3:P16">
    <cfRule type="expression" priority="1" dxfId="0">
      <formula>$I3="✅ Passé"</formula>
    </cfRule>
    <cfRule type="expression" priority="2" dxfId="1">
      <formula>$I3="❌ Échoué"</formula>
    </cfRule>
    <cfRule type="expression" priority="3" dxfId="2">
      <formula>$I3="⚠️ Bloqué"</formula>
    </cfRule>
    <cfRule type="expression" priority="4" dxfId="3">
      <formula>$I3="▶️ En cours"</formula>
    </cfRule>
    <cfRule type="expression" priority="5" dxfId="4">
      <formula>$I3="⬜ Non exécuté"</formula>
    </cfRule>
  </conditionalFormatting>
  <dataValidations count="36">
    <dataValidation sqref="I3" showDropDown="0" showInputMessage="0" showErrorMessage="0" allowBlank="1" type="list">
      <formula1>"✅ Passé,❌ Échoué,⚠️ Bloqué,▶️ En cours,⬜ Non exécuté"</formula1>
    </dataValidation>
    <dataValidation sqref="B3" showDropDown="0" showInputMessage="0" showErrorMessage="0" allowBlank="1" type="list">
      <formula1>"P1 — Critique,P2 — Haute,P3 — Moyenne,P4 — Basse"</formula1>
    </dataValidation>
    <dataValidation sqref="P3" showDropDown="0" showInputMessage="0" showErrorMessage="0" allowBlank="1" type="list">
      <formula1>"Production,Preprod,Local"</formula1>
    </dataValidation>
    <dataValidation sqref="I4" showDropDown="0" showInputMessage="0" showErrorMessage="0" allowBlank="1" type="list">
      <formula1>"✅ Passé,❌ Échoué,⚠️ Bloqué,▶️ En cours,⬜ Non exécuté"</formula1>
    </dataValidation>
    <dataValidation sqref="B4" showDropDown="0" showInputMessage="0" showErrorMessage="0" allowBlank="1" type="list">
      <formula1>"P1 — Critique,P2 — Haute,P3 — Moyenne,P4 — Basse"</formula1>
    </dataValidation>
    <dataValidation sqref="P4" showDropDown="0" showInputMessage="0" showErrorMessage="0" allowBlank="1" type="list">
      <formula1>"Production,Preprod,Local"</formula1>
    </dataValidation>
    <dataValidation sqref="I5" showDropDown="0" showInputMessage="0" showErrorMessage="0" allowBlank="1" type="list">
      <formula1>"✅ Passé,❌ Échoué,⚠️ Bloqué,▶️ En cours,⬜ Non exécuté"</formula1>
    </dataValidation>
    <dataValidation sqref="B5" showDropDown="0" showInputMessage="0" showErrorMessage="0" allowBlank="1" type="list">
      <formula1>"P1 — Critique,P2 — Haute,P3 — Moyenne,P4 — Basse"</formula1>
    </dataValidation>
    <dataValidation sqref="P5" showDropDown="0" showInputMessage="0" showErrorMessage="0" allowBlank="1" type="list">
      <formula1>"Production,Preprod,Local"</formula1>
    </dataValidation>
    <dataValidation sqref="I6" showDropDown="0" showInputMessage="0" showErrorMessage="0" allowBlank="1" type="list">
      <formula1>"✅ Passé,❌ Échoué,⚠️ Bloqué,▶️ En cours,⬜ Non exécuté"</formula1>
    </dataValidation>
    <dataValidation sqref="B6" showDropDown="0" showInputMessage="0" showErrorMessage="0" allowBlank="1" type="list">
      <formula1>"P1 — Critique,P2 — Haute,P3 — Moyenne,P4 — Basse"</formula1>
    </dataValidation>
    <dataValidation sqref="P6" showDropDown="0" showInputMessage="0" showErrorMessage="0" allowBlank="1" type="list">
      <formula1>"Production,Preprod,Local"</formula1>
    </dataValidation>
    <dataValidation sqref="I7" showDropDown="0" showInputMessage="0" showErrorMessage="0" allowBlank="1" type="list">
      <formula1>"✅ Passé,❌ Échoué,⚠️ Bloqué,▶️ En cours,⬜ Non exécuté"</formula1>
    </dataValidation>
    <dataValidation sqref="B7" showDropDown="0" showInputMessage="0" showErrorMessage="0" allowBlank="1" type="list">
      <formula1>"P1 — Critique,P2 — Haute,P3 — Moyenne,P4 — Basse"</formula1>
    </dataValidation>
    <dataValidation sqref="P7" showDropDown="0" showInputMessage="0" showErrorMessage="0" allowBlank="1" type="list">
      <formula1>"Production,Preprod,Local"</formula1>
    </dataValidation>
    <dataValidation sqref="I8" showDropDown="0" showInputMessage="0" showErrorMessage="0" allowBlank="1" type="list">
      <formula1>"✅ Passé,❌ Échoué,⚠️ Bloqué,▶️ En cours,⬜ Non exécuté"</formula1>
    </dataValidation>
    <dataValidation sqref="B8" showDropDown="0" showInputMessage="0" showErrorMessage="0" allowBlank="1" type="list">
      <formula1>"P1 — Critique,P2 — Haute,P3 — Moyenne,P4 — Basse"</formula1>
    </dataValidation>
    <dataValidation sqref="P8" showDropDown="0" showInputMessage="0" showErrorMessage="0" allowBlank="1" type="list">
      <formula1>"Production,Preprod,Local"</formula1>
    </dataValidation>
    <dataValidation sqref="I9" showDropDown="0" showInputMessage="0" showErrorMessage="0" allowBlank="1" type="list">
      <formula1>"✅ Passé,❌ Échoué,⚠️ Bloqué,▶️ En cours,⬜ Non exécuté"</formula1>
    </dataValidation>
    <dataValidation sqref="B9" showDropDown="0" showInputMessage="0" showErrorMessage="0" allowBlank="1" type="list">
      <formula1>"P1 — Critique,P2 — Haute,P3 — Moyenne,P4 — Basse"</formula1>
    </dataValidation>
    <dataValidation sqref="P9" showDropDown="0" showInputMessage="0" showErrorMessage="0" allowBlank="1" type="list">
      <formula1>"Production,Preprod,Local"</formula1>
    </dataValidation>
    <dataValidation sqref="I10" showDropDown="0" showInputMessage="0" showErrorMessage="0" allowBlank="1" type="list">
      <formula1>"✅ Passé,❌ Échoué,⚠️ Bloqué,▶️ En cours,⬜ Non exécuté"</formula1>
    </dataValidation>
    <dataValidation sqref="B10" showDropDown="0" showInputMessage="0" showErrorMessage="0" allowBlank="1" type="list">
      <formula1>"P1 — Critique,P2 — Haute,P3 — Moyenne,P4 — Basse"</formula1>
    </dataValidation>
    <dataValidation sqref="P10" showDropDown="0" showInputMessage="0" showErrorMessage="0" allowBlank="1" type="list">
      <formula1>"Production,Preprod,Local"</formula1>
    </dataValidation>
    <dataValidation sqref="I11" showDropDown="0" showInputMessage="0" showErrorMessage="0" allowBlank="1" type="list">
      <formula1>"✅ Passé,❌ Échoué,⚠️ Bloqué,▶️ En cours,⬜ Non exécuté"</formula1>
    </dataValidation>
    <dataValidation sqref="B11" showDropDown="0" showInputMessage="0" showErrorMessage="0" allowBlank="1" type="list">
      <formula1>"P1 — Critique,P2 — Haute,P3 — Moyenne,P4 — Basse"</formula1>
    </dataValidation>
    <dataValidation sqref="P11" showDropDown="0" showInputMessage="0" showErrorMessage="0" allowBlank="1" type="list">
      <formula1>"Production,Preprod,Local"</formula1>
    </dataValidation>
    <dataValidation sqref="I12" showDropDown="0" showInputMessage="0" showErrorMessage="0" allowBlank="1" type="list">
      <formula1>"✅ Passé,❌ Échoué,⚠️ Bloqué,▶️ En cours,⬜ Non exécuté"</formula1>
    </dataValidation>
    <dataValidation sqref="B12" showDropDown="0" showInputMessage="0" showErrorMessage="0" allowBlank="1" type="list">
      <formula1>"P1 — Critique,P2 — Haute,P3 — Moyenne,P4 — Basse"</formula1>
    </dataValidation>
    <dataValidation sqref="P12" showDropDown="0" showInputMessage="0" showErrorMessage="0" allowBlank="1" type="list">
      <formula1>"Production,Preprod,Local"</formula1>
    </dataValidation>
    <dataValidation sqref="I13" showDropDown="0" showInputMessage="0" showErrorMessage="0" allowBlank="1" type="list">
      <formula1>"✅ Passé,❌ Échoué,⚠️ Bloqué,▶️ En cours,⬜ Non exécuté"</formula1>
    </dataValidation>
    <dataValidation sqref="B13" showDropDown="0" showInputMessage="0" showErrorMessage="0" allowBlank="1" type="list">
      <formula1>"P1 — Critique,P2 — Haute,P3 — Moyenne,P4 — Basse"</formula1>
    </dataValidation>
    <dataValidation sqref="P13" showDropDown="0" showInputMessage="0" showErrorMessage="0" allowBlank="1" type="list">
      <formula1>"Production,Preprod,Local"</formula1>
    </dataValidation>
    <dataValidation sqref="I14:I16" showDropDown="0" showInputMessage="0" showErrorMessage="0" allowBlank="1" type="list">
      <formula1>"✅ Passé,❌ Échoué,⚠️ Bloqué,▶️ En cours,⬜ Non exécuté"</formula1>
    </dataValidation>
    <dataValidation sqref="B14:B16" showDropDown="0" showInputMessage="0" showErrorMessage="0" allowBlank="1" type="list">
      <formula1>"P1 — Critique,P2 — Haute,P3 — Moyenne,P4 — Basse"</formula1>
    </dataValidation>
    <dataValidation sqref="P14:P16" showDropDown="0" showInputMessage="0" showErrorMessage="0" allowBlank="1" type="list">
      <formula1>"Production,Preprod,Local"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38" customWidth="1" min="3" max="3"/>
    <col width="32" customWidth="1" min="4" max="4"/>
    <col width="30" customWidth="1" min="5" max="5"/>
    <col width="40" customWidth="1" min="6" max="6"/>
    <col width="38" customWidth="1" min="7" max="7"/>
    <col width="38" customWidth="1" min="8" max="8"/>
    <col width="18" customWidth="1" min="9" max="9"/>
    <col width="16" customWidth="1" min="10" max="10"/>
    <col width="13" customWidth="1" min="11" max="11"/>
    <col width="12" customWidth="1" min="12" max="12"/>
    <col width="24" customWidth="1" min="13" max="13"/>
    <col width="36" customWidth="1" min="14" max="14"/>
    <col width="10" customWidth="1" min="15" max="15"/>
    <col width="12" customWidth="1" min="16" max="16"/>
  </cols>
  <sheetData>
    <row r="1" ht="26" customHeight="1">
      <c r="A1" s="60" t="inlineStr">
        <is>
          <t xml:space="preserve">  NOTES DE FRAIS  ·  11 scénarios</t>
        </is>
      </c>
    </row>
    <row r="2" ht="22" customHeight="1">
      <c r="A2" s="39" t="inlineStr">
        <is>
          <t>ID Test</t>
        </is>
      </c>
      <c r="B2" s="39" t="inlineStr">
        <is>
          <t>Priorité</t>
        </is>
      </c>
      <c r="C2" s="39" t="inlineStr">
        <is>
          <t>Titre du scénario</t>
        </is>
      </c>
      <c r="D2" s="39" t="inlineStr">
        <is>
          <t>Description / Contexte</t>
        </is>
      </c>
      <c r="E2" s="39" t="inlineStr">
        <is>
          <t>Prérequis / Données</t>
        </is>
      </c>
      <c r="F2" s="39" t="inlineStr">
        <is>
          <t>Étapes détaillées</t>
        </is>
      </c>
      <c r="G2" s="39" t="inlineStr">
        <is>
          <t>Résultat attendu</t>
        </is>
      </c>
      <c r="H2" s="39" t="inlineStr">
        <is>
          <t>Résultat obtenu</t>
        </is>
      </c>
      <c r="I2" s="39" t="inlineStr">
        <is>
          <t>Statut</t>
        </is>
      </c>
      <c r="J2" s="39" t="inlineStr">
        <is>
          <t>Testeur</t>
        </is>
      </c>
      <c r="K2" s="39" t="inlineStr">
        <is>
          <t>Date test</t>
        </is>
      </c>
      <c r="L2" s="39" t="inlineStr">
        <is>
          <t>Durée (min)</t>
        </is>
      </c>
      <c r="M2" s="39" t="inlineStr">
        <is>
          <t>Ticket / Requalification</t>
        </is>
      </c>
      <c r="N2" s="39" t="inlineStr">
        <is>
          <t>Commentaire / Amélioration</t>
        </is>
      </c>
      <c r="O2" s="39" t="inlineStr">
        <is>
          <t>Sprint</t>
        </is>
      </c>
      <c r="P2" s="39" t="inlineStr">
        <is>
          <t>Env.</t>
        </is>
      </c>
    </row>
    <row r="3" ht="58" customHeight="1">
      <c r="A3" s="61" t="inlineStr">
        <is>
          <t>FRA-001</t>
        </is>
      </c>
      <c r="B3" s="40" t="inlineStr">
        <is>
          <t>P1 — Critique</t>
        </is>
      </c>
      <c r="C3" s="41" t="inlineStr">
        <is>
          <t>Création note de frais — brouillon</t>
        </is>
      </c>
      <c r="D3" s="41" t="inlineStr"/>
      <c r="E3" s="41" t="inlineStr">
        <is>
          <t>Employé connecté</t>
        </is>
      </c>
      <c r="F3" s="41" t="inlineStr">
        <is>
          <t>1. /mon-espace/notes-de-frais → Nouvelle note
2. Titre, mois
3. Sauvegarder brouillon</t>
        </is>
      </c>
      <c r="G3" s="41" t="inlineStr">
        <is>
          <t>Note créée statut 'draft', visible dans la liste</t>
        </is>
      </c>
      <c r="H3" s="41" t="inlineStr">
        <is>
          <t>POST /expenses 201 : statut 'draft', visible dans /expenses/my-expenses.</t>
        </is>
      </c>
      <c r="I3" s="42" t="inlineStr">
        <is>
          <t>✅ Passé</t>
        </is>
      </c>
      <c r="J3" s="41" t="inlineStr">
        <is>
          <t>Agents IA + live</t>
        </is>
      </c>
      <c r="K3" s="41" t="inlineStr">
        <is>
          <t>24/06/2026</t>
        </is>
      </c>
      <c r="L3" s="41" t="inlineStr"/>
      <c r="M3" s="41" t="inlineStr"/>
      <c r="N3" s="41" t="inlineStr"/>
      <c r="O3" s="41" t="inlineStr">
        <is>
          <t>Sprint 1</t>
        </is>
      </c>
      <c r="P3" s="41" t="inlineStr">
        <is>
          <t>Production</t>
        </is>
      </c>
    </row>
    <row r="4" ht="58" customHeight="1">
      <c r="A4" s="61" t="inlineStr">
        <is>
          <t>FRA-002</t>
        </is>
      </c>
      <c r="B4" s="40" t="inlineStr">
        <is>
          <t>P1 — Critique</t>
        </is>
      </c>
      <c r="C4" s="43" t="inlineStr">
        <is>
          <t>Ajout lignes à la note</t>
        </is>
      </c>
      <c r="D4" s="43" t="inlineStr">
        <is>
          <t>Description, catégorie, montant FCFA, justificatif</t>
        </is>
      </c>
      <c r="E4" s="43" t="inlineStr">
        <is>
          <t>Note brouillon</t>
        </is>
      </c>
      <c r="F4" s="43" t="inlineStr">
        <is>
          <t>1. Ouvrir la note
2. + Ajouter ligne
3. Repas 8 500 FCFA
4. Upload reçu</t>
        </is>
      </c>
      <c r="G4" s="43" t="inlineStr">
        <is>
          <t>Ligne ajoutée, total mis à jour automatiquement en FCFA</t>
        </is>
      </c>
      <c r="H4" s="43" t="inlineStr">
        <is>
          <t>POST /expenses/:id/lines (repas 8 500 FCFA) 201 : total_amount recalcule = 8 500 FCFA ; upload recu via /expenses/receipts/upload (data URL).</t>
        </is>
      </c>
      <c r="I4" s="42" t="inlineStr">
        <is>
          <t>✅ Passé</t>
        </is>
      </c>
      <c r="J4" s="43" t="inlineStr">
        <is>
          <t>Agents IA + live</t>
        </is>
      </c>
      <c r="K4" s="43" t="inlineStr">
        <is>
          <t>24/06/2026</t>
        </is>
      </c>
      <c r="L4" s="43" t="inlineStr"/>
      <c r="M4" s="43" t="inlineStr"/>
      <c r="N4" s="43" t="inlineStr"/>
      <c r="O4" s="43" t="inlineStr">
        <is>
          <t>Sprint 1</t>
        </is>
      </c>
      <c r="P4" s="43" t="inlineStr">
        <is>
          <t>Production</t>
        </is>
      </c>
    </row>
    <row r="5" ht="58" customHeight="1">
      <c r="A5" s="61" t="inlineStr">
        <is>
          <t>FRA-003</t>
        </is>
      </c>
      <c r="B5" s="40" t="inlineStr">
        <is>
          <t>P1 — Critique</t>
        </is>
      </c>
      <c r="C5" s="41" t="inlineStr">
        <is>
          <t>Soumission note → statut 'submitted'</t>
        </is>
      </c>
      <c r="D5" s="41" t="inlineStr"/>
      <c r="E5" s="41" t="inlineStr">
        <is>
          <t>Note avec au moins 1 ligne</t>
        </is>
      </c>
      <c r="F5" s="41" t="inlineStr">
        <is>
          <t>1. Note brouillon → Soumettre</t>
        </is>
      </c>
      <c r="G5" s="41" t="inlineStr">
        <is>
          <t>Statut = submitted, manager notifié, modification impossible</t>
        </is>
      </c>
      <c r="H5" s="41" t="inlineStr">
        <is>
          <t>PATCH /expenses/:id/submit -&gt; 'submitted' ; note en lecture seule apres soumission ; notification manager ajoutee (recette).</t>
        </is>
      </c>
      <c r="I5" s="42" t="inlineStr">
        <is>
          <t>✅ Passé</t>
        </is>
      </c>
      <c r="J5" s="41" t="inlineStr">
        <is>
          <t>Agents IA + live</t>
        </is>
      </c>
      <c r="K5" s="41" t="inlineStr">
        <is>
          <t>24/06/2026</t>
        </is>
      </c>
      <c r="L5" s="41" t="inlineStr"/>
      <c r="M5" s="41" t="inlineStr"/>
      <c r="N5" s="41" t="inlineStr"/>
      <c r="O5" s="41" t="inlineStr">
        <is>
          <t>Sprint 1</t>
        </is>
      </c>
      <c r="P5" s="41" t="inlineStr">
        <is>
          <t>Production</t>
        </is>
      </c>
    </row>
    <row r="6" ht="58" customHeight="1">
      <c r="A6" s="61" t="inlineStr">
        <is>
          <t>FRA-004</t>
        </is>
      </c>
      <c r="B6" s="40" t="inlineStr">
        <is>
          <t>P1 — Critique</t>
        </is>
      </c>
      <c r="C6" s="43" t="inlineStr">
        <is>
          <t>Validation manager → statut 'approved'</t>
        </is>
      </c>
      <c r="D6" s="43" t="inlineStr"/>
      <c r="E6" s="43" t="inlineStr">
        <is>
          <t>Note submitted + manager connecté</t>
        </is>
      </c>
      <c r="F6" s="43" t="inlineStr">
        <is>
          <t>1. Manager → Notes à valider → Approuver</t>
        </is>
      </c>
      <c r="G6" s="43" t="inlineStr">
        <is>
          <t>Statut = approved, RH peut procéder au remboursement</t>
        </is>
      </c>
      <c r="H6" s="43" t="inlineStr">
        <is>
          <t>PATCH /expenses/:id/approve (hr_manager) -&gt; 'approved' ; RH peut rembourser ; notification employe ajoutee (recette).</t>
        </is>
      </c>
      <c r="I6" s="42" t="inlineStr">
        <is>
          <t>✅ Passé</t>
        </is>
      </c>
      <c r="J6" s="43" t="inlineStr">
        <is>
          <t>Agents IA + live</t>
        </is>
      </c>
      <c r="K6" s="43" t="inlineStr">
        <is>
          <t>24/06/2026</t>
        </is>
      </c>
      <c r="L6" s="43" t="inlineStr"/>
      <c r="M6" s="43" t="inlineStr"/>
      <c r="N6" s="43" t="inlineStr"/>
      <c r="O6" s="43" t="inlineStr">
        <is>
          <t>Sprint 1</t>
        </is>
      </c>
      <c r="P6" s="43" t="inlineStr">
        <is>
          <t>Production</t>
        </is>
      </c>
    </row>
    <row r="7" ht="58" customHeight="1">
      <c r="A7" s="61" t="inlineStr">
        <is>
          <t>FRA-005</t>
        </is>
      </c>
      <c r="B7" s="44" t="inlineStr">
        <is>
          <t>P2 — Haute</t>
        </is>
      </c>
      <c r="C7" s="41" t="inlineStr">
        <is>
          <t>Refus manager → statut 'rejected'</t>
        </is>
      </c>
      <c r="D7" s="41" t="inlineStr"/>
      <c r="E7" s="41" t="inlineStr"/>
      <c r="F7" s="41" t="inlineStr">
        <is>
          <t>1. Manager → Refuser avec motif</t>
        </is>
      </c>
      <c r="G7" s="41" t="inlineStr">
        <is>
          <t>Statut = rejected, employé notifié avec motif</t>
        </is>
      </c>
      <c r="H7" s="41" t="inlineStr">
        <is>
          <t>PATCH /expenses/:id/reject {reason} -&gt; 'rejected', motif stocke et affiche ; notification employe avec motif ajoutee (recette).</t>
        </is>
      </c>
      <c r="I7" s="42" t="inlineStr">
        <is>
          <t>✅ Passé</t>
        </is>
      </c>
      <c r="J7" s="41" t="inlineStr">
        <is>
          <t>Agents IA + live</t>
        </is>
      </c>
      <c r="K7" s="41" t="inlineStr">
        <is>
          <t>24/06/2026</t>
        </is>
      </c>
      <c r="L7" s="41" t="inlineStr"/>
      <c r="M7" s="41" t="inlineStr"/>
      <c r="N7" s="41" t="inlineStr"/>
      <c r="O7" s="41" t="inlineStr">
        <is>
          <t>Sprint 1</t>
        </is>
      </c>
      <c r="P7" s="41" t="inlineStr">
        <is>
          <t>Production</t>
        </is>
      </c>
    </row>
    <row r="8" ht="58" customHeight="1">
      <c r="A8" s="61" t="inlineStr">
        <is>
          <t>FRA-006</t>
        </is>
      </c>
      <c r="B8" s="44" t="inlineStr">
        <is>
          <t>P2 — Haute</t>
        </is>
      </c>
      <c r="C8" s="43" t="inlineStr">
        <is>
          <t>Remboursement via Mobile Money</t>
        </is>
      </c>
      <c r="D8" s="43" t="inlineStr"/>
      <c r="E8" s="43" t="inlineStr">
        <is>
          <t>Note approuvée, numéro Mobile Money enregistré</t>
        </is>
      </c>
      <c r="F8" s="43" t="inlineStr">
        <is>
          <t>1. RH → Rembourser → Wave
2. Confirmer montant</t>
        </is>
      </c>
      <c r="G8" s="43" t="inlineStr">
        <is>
          <t>Paiement Mobile Money initié, statut = remboursé, référence TXN stockée</t>
        </is>
      </c>
      <c r="H8" s="43" t="inlineStr">
        <is>
          <t>PATCH /expenses/:id/pay {provider:wave} : virement Mobile Money initie (initiateTransfer) + reference TXN stockee (payment_reference) + ligne mobile_money_payments ; statut 'paid' (recette). Modal operateur cote UI.</t>
        </is>
      </c>
      <c r="I8" s="42" t="inlineStr">
        <is>
          <t>✅ Passé</t>
        </is>
      </c>
      <c r="J8" s="43" t="inlineStr">
        <is>
          <t>Agents IA + live</t>
        </is>
      </c>
      <c r="K8" s="43" t="inlineStr">
        <is>
          <t>24/06/2026</t>
        </is>
      </c>
      <c r="L8" s="43" t="inlineStr"/>
      <c r="M8" s="43" t="inlineStr"/>
      <c r="N8" s="43" t="inlineStr"/>
      <c r="O8" s="43" t="inlineStr">
        <is>
          <t>Sprint 1</t>
        </is>
      </c>
      <c r="P8" s="43" t="inlineStr">
        <is>
          <t>Production</t>
        </is>
      </c>
    </row>
    <row r="9" ht="58" customHeight="1">
      <c r="A9" s="61" t="inlineStr">
        <is>
          <t>FRA-007</t>
        </is>
      </c>
      <c r="B9" s="44" t="inlineStr">
        <is>
          <t>P2 — Haute</t>
        </is>
      </c>
      <c r="C9" s="41" t="inlineStr">
        <is>
          <t>Sauvegarde brouillon autosave</t>
        </is>
      </c>
      <c r="D9" s="41" t="inlineStr"/>
      <c r="E9" s="41" t="inlineStr"/>
      <c r="F9" s="41" t="inlineStr">
        <is>
          <t>1. Modifier une note
2. Ne pas cliquer Sauvegarder
3. Quitter et revenir</t>
        </is>
      </c>
      <c r="G9" s="41" t="inlineStr">
        <is>
          <t>Modifications conservées (autosave ou confirmation de quitter)</t>
        </is>
      </c>
      <c r="H9" s="41" t="inlineStr">
        <is>
          <t>Auto-sauvegarde locale du brouillon (localStorage) + restauration a la reouverture + banniere (recette, MesNotesDesFrais).</t>
        </is>
      </c>
      <c r="I9" s="42" t="inlineStr">
        <is>
          <t>✅ Passé</t>
        </is>
      </c>
      <c r="J9" s="41" t="inlineStr">
        <is>
          <t>Agents IA + live</t>
        </is>
      </c>
      <c r="K9" s="41" t="inlineStr">
        <is>
          <t>24/06/2026</t>
        </is>
      </c>
      <c r="L9" s="41" t="inlineStr"/>
      <c r="M9" s="41" t="inlineStr"/>
      <c r="N9" s="41" t="inlineStr"/>
      <c r="O9" s="41" t="inlineStr">
        <is>
          <t>Sprint 1</t>
        </is>
      </c>
      <c r="P9" s="41" t="inlineStr">
        <is>
          <t>Production</t>
        </is>
      </c>
    </row>
    <row r="10" ht="58" customHeight="1">
      <c r="A10" s="61" t="inlineStr">
        <is>
          <t>FRA-008</t>
        </is>
      </c>
      <c r="B10" s="40" t="inlineStr">
        <is>
          <t>P1 — Critique</t>
        </is>
      </c>
      <c r="C10" s="43" t="inlineStr">
        <is>
          <t>Employee voit uniquement ses propres notes</t>
        </is>
      </c>
      <c r="D10" s="43" t="inlineStr"/>
      <c r="E10" s="43" t="inlineStr"/>
      <c r="F10" s="43" t="inlineStr">
        <is>
          <t>1. employe@sotra.ci → /mon-espace/notes-de-frais</t>
        </is>
      </c>
      <c r="G10" s="43" t="inlineStr">
        <is>
          <t>Seules ses propres notes affichées, jamais celles des collègues</t>
        </is>
      </c>
      <c r="H10" s="43" t="inlineStr">
        <is>
          <t>Isolation : /expenses/my-expenses filtre sur employeeId du token ; acces a la note d'un collegue -&gt; 403 (OWASP A01).</t>
        </is>
      </c>
      <c r="I10" s="42" t="inlineStr">
        <is>
          <t>✅ Passé</t>
        </is>
      </c>
      <c r="J10" s="43" t="inlineStr">
        <is>
          <t>Agents IA + live</t>
        </is>
      </c>
      <c r="K10" s="43" t="inlineStr">
        <is>
          <t>24/06/2026</t>
        </is>
      </c>
      <c r="L10" s="43" t="inlineStr"/>
      <c r="M10" s="43" t="inlineStr"/>
      <c r="N10" s="43" t="inlineStr"/>
      <c r="O10" s="43" t="inlineStr">
        <is>
          <t>Sprint 1</t>
        </is>
      </c>
      <c r="P10" s="43" t="inlineStr">
        <is>
          <t>Production</t>
        </is>
      </c>
    </row>
    <row r="11" ht="58" customHeight="1">
      <c r="A11" s="49" t="inlineStr">
        <is>
          <t>FRA-101</t>
        </is>
      </c>
      <c r="B11" s="40" t="inlineStr">
        <is>
          <t>P2 — Haute</t>
        </is>
      </c>
      <c r="C11" s="41" t="inlineStr">
        <is>
          <t>Catégorie de frais « Matériel » / « Communication »</t>
        </is>
      </c>
      <c r="D11" s="41" t="inlineStr">
        <is>
          <t>Valeurs du select acceptées</t>
        </is>
      </c>
      <c r="E11" s="41" t="inlineStr">
        <is>
          <t>Employé connecté</t>
        </is>
      </c>
      <c r="F11" s="41" t="inlineStr">
        <is>
          <t>1. Nouvelle note → ligne
2. Catégorie = Matériel (ou Communication)
3. Enregistrer</t>
        </is>
      </c>
      <c r="G11" s="41" t="inlineStr">
        <is>
          <t>Ligne enregistrée, plus de 400</t>
        </is>
      </c>
      <c r="H11" s="41" t="inlineStr">
        <is>
          <t>Categorie de ligne 'materiel' / 'communication' acceptee (enum Zod) 201.</t>
        </is>
      </c>
      <c r="I11" s="42" t="inlineStr">
        <is>
          <t>✅ Passé</t>
        </is>
      </c>
      <c r="J11" s="41" t="inlineStr">
        <is>
          <t>Agents IA + live</t>
        </is>
      </c>
      <c r="K11" s="41" t="inlineStr">
        <is>
          <t>24/06/2026</t>
        </is>
      </c>
      <c r="L11" s="41" t="inlineStr"/>
      <c r="M11" s="41" t="inlineStr"/>
      <c r="N11" s="41" t="inlineStr"/>
      <c r="O11" s="41" t="inlineStr">
        <is>
          <t>Corrections 23/06</t>
        </is>
      </c>
      <c r="P11" s="41" t="inlineStr">
        <is>
          <t>Production</t>
        </is>
      </c>
    </row>
    <row r="12" ht="58" customHeight="1">
      <c r="A12" s="61" t="inlineStr">
        <is>
          <t>FRA-102</t>
        </is>
      </c>
      <c r="B12" s="40" t="inlineStr">
        <is>
          <t>P1 — Critique</t>
        </is>
      </c>
      <c r="C12" s="43" t="inlineStr">
        <is>
          <t>Justificatif — upload et contrôle du fichier</t>
        </is>
      </c>
      <c r="D12" s="43" t="inlineStr">
        <is>
          <t>POST /expenses/receipts/upload (type, taille, antivirus).</t>
        </is>
      </c>
      <c r="E12" s="43" t="inlineStr">
        <is>
          <t>employe@sotra.ci (Kouassi Coulibaly)</t>
        </is>
      </c>
      <c r="F12" s="43" t="inlineStr">
        <is>
          <t>1. Note de frais → ligne → joindre un JPG
2. Joindre un fichier de 20 Mo / un .exe</t>
        </is>
      </c>
      <c r="G12" s="43" t="inlineStr">
        <is>
          <t>JPG accepté et consultable ; fichier trop gros ou type interdit refusé avec message clair</t>
        </is>
      </c>
      <c r="H12" s="43" t="n"/>
      <c r="I12" s="42" t="n"/>
      <c r="J12" s="43" t="n"/>
      <c r="K12" s="43" t="n"/>
      <c r="L12" s="43" t="n"/>
      <c r="M12" s="43" t="n"/>
      <c r="N12" s="43" t="n"/>
      <c r="O12" s="43" t="inlineStr">
        <is>
          <t>Recette 10/2026</t>
        </is>
      </c>
      <c r="P12" s="43" t="inlineStr">
        <is>
          <t>Production</t>
        </is>
      </c>
    </row>
    <row r="13" ht="58" customHeight="1">
      <c r="A13" s="61" t="inlineStr">
        <is>
          <t>FRA-103</t>
        </is>
      </c>
      <c r="B13" s="44" t="inlineStr">
        <is>
          <t>P2 — Haute</t>
        </is>
      </c>
      <c r="C13" s="41" t="inlineStr">
        <is>
          <t>Notes de frais — vue RH (expenses-rh)</t>
        </is>
      </c>
      <c r="D13" s="41" t="inlineStr">
        <is>
          <t>Page RH de suivi des notes de frais.</t>
        </is>
      </c>
      <c r="E13" s="41" t="inlineStr">
        <is>
          <t>rh@sotra.ci (hr_manager, « Responsable Paie »)</t>
        </is>
      </c>
      <c r="F13" s="41" t="inlineStr">
        <is>
          <t>1. Notes de frais (RH) → filtrer par statut</t>
        </is>
      </c>
      <c r="G13" s="41" t="inlineStr">
        <is>
          <t>Toutes les notes du tenant visibles RH, lecture seule tant qu'elles ne sont pas à son niveau (voir WF)</t>
        </is>
      </c>
      <c r="H13" s="41" t="n"/>
      <c r="I13" s="42" t="n"/>
      <c r="J13" s="41" t="n"/>
      <c r="K13" s="41" t="n"/>
      <c r="L13" s="41" t="n"/>
      <c r="M13" s="41" t="n"/>
      <c r="N13" s="41" t="n"/>
      <c r="O13" s="41" t="inlineStr">
        <is>
          <t>Recette 10/2026</t>
        </is>
      </c>
      <c r="P13" s="41" t="inlineStr">
        <is>
          <t>Production</t>
        </is>
      </c>
    </row>
  </sheetData>
  <mergeCells count="1">
    <mergeCell ref="A1:P1"/>
  </mergeCells>
  <conditionalFormatting sqref="A3:P13">
    <cfRule type="expression" priority="1" dxfId="0">
      <formula>$I3="✅ Passé"</formula>
    </cfRule>
    <cfRule type="expression" priority="2" dxfId="1">
      <formula>$I3="❌ Échoué"</formula>
    </cfRule>
    <cfRule type="expression" priority="3" dxfId="2">
      <formula>$I3="⚠️ Bloqué"</formula>
    </cfRule>
    <cfRule type="expression" priority="4" dxfId="3">
      <formula>$I3="▶️ En cours"</formula>
    </cfRule>
    <cfRule type="expression" priority="5" dxfId="4">
      <formula>$I3="⬜ Non exécuté"</formula>
    </cfRule>
  </conditionalFormatting>
  <dataValidations count="30">
    <dataValidation sqref="I3" showDropDown="0" showInputMessage="0" showErrorMessage="0" allowBlank="1" type="list">
      <formula1>"✅ Passé,❌ Échoué,⚠️ Bloqué,▶️ En cours,⬜ Non exécuté"</formula1>
    </dataValidation>
    <dataValidation sqref="B3" showDropDown="0" showInputMessage="0" showErrorMessage="0" allowBlank="1" type="list">
      <formula1>"P1 — Critique,P2 — Haute,P3 — Moyenne,P4 — Basse"</formula1>
    </dataValidation>
    <dataValidation sqref="P3" showDropDown="0" showInputMessage="0" showErrorMessage="0" allowBlank="1" type="list">
      <formula1>"Production,Preprod,Local"</formula1>
    </dataValidation>
    <dataValidation sqref="I4" showDropDown="0" showInputMessage="0" showErrorMessage="0" allowBlank="1" type="list">
      <formula1>"✅ Passé,❌ Échoué,⚠️ Bloqué,▶️ En cours,⬜ Non exécuté"</formula1>
    </dataValidation>
    <dataValidation sqref="B4" showDropDown="0" showInputMessage="0" showErrorMessage="0" allowBlank="1" type="list">
      <formula1>"P1 — Critique,P2 — Haute,P3 — Moyenne,P4 — Basse"</formula1>
    </dataValidation>
    <dataValidation sqref="P4" showDropDown="0" showInputMessage="0" showErrorMessage="0" allowBlank="1" type="list">
      <formula1>"Production,Preprod,Local"</formula1>
    </dataValidation>
    <dataValidation sqref="I5" showDropDown="0" showInputMessage="0" showErrorMessage="0" allowBlank="1" type="list">
      <formula1>"✅ Passé,❌ Échoué,⚠️ Bloqué,▶️ En cours,⬜ Non exécuté"</formula1>
    </dataValidation>
    <dataValidation sqref="B5" showDropDown="0" showInputMessage="0" showErrorMessage="0" allowBlank="1" type="list">
      <formula1>"P1 — Critique,P2 — Haute,P3 — Moyenne,P4 — Basse"</formula1>
    </dataValidation>
    <dataValidation sqref="P5" showDropDown="0" showInputMessage="0" showErrorMessage="0" allowBlank="1" type="list">
      <formula1>"Production,Preprod,Local"</formula1>
    </dataValidation>
    <dataValidation sqref="I6" showDropDown="0" showInputMessage="0" showErrorMessage="0" allowBlank="1" type="list">
      <formula1>"✅ Passé,❌ Échoué,⚠️ Bloqué,▶️ En cours,⬜ Non exécuté"</formula1>
    </dataValidation>
    <dataValidation sqref="B6" showDropDown="0" showInputMessage="0" showErrorMessage="0" allowBlank="1" type="list">
      <formula1>"P1 — Critique,P2 — Haute,P3 — Moyenne,P4 — Basse"</formula1>
    </dataValidation>
    <dataValidation sqref="P6" showDropDown="0" showInputMessage="0" showErrorMessage="0" allowBlank="1" type="list">
      <formula1>"Production,Preprod,Local"</formula1>
    </dataValidation>
    <dataValidation sqref="I7" showDropDown="0" showInputMessage="0" showErrorMessage="0" allowBlank="1" type="list">
      <formula1>"✅ Passé,❌ Échoué,⚠️ Bloqué,▶️ En cours,⬜ Non exécuté"</formula1>
    </dataValidation>
    <dataValidation sqref="B7" showDropDown="0" showInputMessage="0" showErrorMessage="0" allowBlank="1" type="list">
      <formula1>"P1 — Critique,P2 — Haute,P3 — Moyenne,P4 — Basse"</formula1>
    </dataValidation>
    <dataValidation sqref="P7" showDropDown="0" showInputMessage="0" showErrorMessage="0" allowBlank="1" type="list">
      <formula1>"Production,Preprod,Local"</formula1>
    </dataValidation>
    <dataValidation sqref="I8" showDropDown="0" showInputMessage="0" showErrorMessage="0" allowBlank="1" type="list">
      <formula1>"✅ Passé,❌ Échoué,⚠️ Bloqué,▶️ En cours,⬜ Non exécuté"</formula1>
    </dataValidation>
    <dataValidation sqref="B8" showDropDown="0" showInputMessage="0" showErrorMessage="0" allowBlank="1" type="list">
      <formula1>"P1 — Critique,P2 — Haute,P3 — Moyenne,P4 — Basse"</formula1>
    </dataValidation>
    <dataValidation sqref="P8" showDropDown="0" showInputMessage="0" showErrorMessage="0" allowBlank="1" type="list">
      <formula1>"Production,Preprod,Local"</formula1>
    </dataValidation>
    <dataValidation sqref="I9" showDropDown="0" showInputMessage="0" showErrorMessage="0" allowBlank="1" type="list">
      <formula1>"✅ Passé,❌ Échoué,⚠️ Bloqué,▶️ En cours,⬜ Non exécuté"</formula1>
    </dataValidation>
    <dataValidation sqref="B9" showDropDown="0" showInputMessage="0" showErrorMessage="0" allowBlank="1" type="list">
      <formula1>"P1 — Critique,P2 — Haute,P3 — Moyenne,P4 — Basse"</formula1>
    </dataValidation>
    <dataValidation sqref="P9" showDropDown="0" showInputMessage="0" showErrorMessage="0" allowBlank="1" type="list">
      <formula1>"Production,Preprod,Local"</formula1>
    </dataValidation>
    <dataValidation sqref="I10" showDropDown="0" showInputMessage="0" showErrorMessage="0" allowBlank="1" type="list">
      <formula1>"✅ Passé,❌ Échoué,⚠️ Bloqué,▶️ En cours,⬜ Non exécuté"</formula1>
    </dataValidation>
    <dataValidation sqref="B10" showDropDown="0" showInputMessage="0" showErrorMessage="0" allowBlank="1" type="list">
      <formula1>"P1 — Critique,P2 — Haute,P3 — Moyenne,P4 — Basse"</formula1>
    </dataValidation>
    <dataValidation sqref="P10" showDropDown="0" showInputMessage="0" showErrorMessage="0" allowBlank="1" type="list">
      <formula1>"Production,Preprod,Local"</formula1>
    </dataValidation>
    <dataValidation sqref="I11" showDropDown="0" showInputMessage="0" showErrorMessage="0" allowBlank="1" type="list">
      <formula1>"✅ Passé,❌ Échoué,⚠️ Bloqué,▶️ En cours,⬜ Non exécuté"</formula1>
    </dataValidation>
    <dataValidation sqref="B11" showDropDown="0" showInputMessage="0" showErrorMessage="0" allowBlank="1" type="list">
      <formula1>"P1 — Critique,P2 — Haute,P3 — Moyenne,P4 — Basse"</formula1>
    </dataValidation>
    <dataValidation sqref="P11" showDropDown="0" showInputMessage="0" showErrorMessage="0" allowBlank="1" type="list">
      <formula1>"Production,Preprod,Local"</formula1>
    </dataValidation>
    <dataValidation sqref="I12:I13" showDropDown="0" showInputMessage="0" showErrorMessage="0" allowBlank="1" type="list">
      <formula1>"✅ Passé,❌ Échoué,⚠️ Bloqué,▶️ En cours,⬜ Non exécuté"</formula1>
    </dataValidation>
    <dataValidation sqref="B12:B13" showDropDown="0" showInputMessage="0" showErrorMessage="0" allowBlank="1" type="list">
      <formula1>"P1 — Critique,P2 — Haute,P3 — Moyenne,P4 — Basse"</formula1>
    </dataValidation>
    <dataValidation sqref="P12:P13" showDropDown="0" showInputMessage="0" showErrorMessage="0" allowBlank="1" type="list">
      <formula1>"Production,Preprod,Local"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38" customWidth="1" min="3" max="3"/>
    <col width="32" customWidth="1" min="4" max="4"/>
    <col width="30" customWidth="1" min="5" max="5"/>
    <col width="40" customWidth="1" min="6" max="6"/>
    <col width="38" customWidth="1" min="7" max="7"/>
    <col width="38" customWidth="1" min="8" max="8"/>
    <col width="18" customWidth="1" min="9" max="9"/>
    <col width="16" customWidth="1" min="10" max="10"/>
    <col width="13" customWidth="1" min="11" max="11"/>
    <col width="12" customWidth="1" min="12" max="12"/>
    <col width="24" customWidth="1" min="13" max="13"/>
    <col width="36" customWidth="1" min="14" max="14"/>
    <col width="10" customWidth="1" min="15" max="15"/>
    <col width="12" customWidth="1" min="16" max="16"/>
  </cols>
  <sheetData>
    <row r="1" ht="26" customHeight="1">
      <c r="A1" s="62" t="inlineStr">
        <is>
          <t xml:space="preserve">  CARRIÈRES &amp; COMPÉTENCES  ·  9 scénarios</t>
        </is>
      </c>
    </row>
    <row r="2" ht="22" customHeight="1">
      <c r="A2" s="39" t="inlineStr">
        <is>
          <t>ID Test</t>
        </is>
      </c>
      <c r="B2" s="39" t="inlineStr">
        <is>
          <t>Priorité</t>
        </is>
      </c>
      <c r="C2" s="39" t="inlineStr">
        <is>
          <t>Titre du scénario</t>
        </is>
      </c>
      <c r="D2" s="39" t="inlineStr">
        <is>
          <t>Description / Contexte</t>
        </is>
      </c>
      <c r="E2" s="39" t="inlineStr">
        <is>
          <t>Prérequis / Données</t>
        </is>
      </c>
      <c r="F2" s="39" t="inlineStr">
        <is>
          <t>Étapes détaillées</t>
        </is>
      </c>
      <c r="G2" s="39" t="inlineStr">
        <is>
          <t>Résultat attendu</t>
        </is>
      </c>
      <c r="H2" s="39" t="inlineStr">
        <is>
          <t>Résultat obtenu</t>
        </is>
      </c>
      <c r="I2" s="39" t="inlineStr">
        <is>
          <t>Statut</t>
        </is>
      </c>
      <c r="J2" s="39" t="inlineStr">
        <is>
          <t>Testeur</t>
        </is>
      </c>
      <c r="K2" s="39" t="inlineStr">
        <is>
          <t>Date test</t>
        </is>
      </c>
      <c r="L2" s="39" t="inlineStr">
        <is>
          <t>Durée (min)</t>
        </is>
      </c>
      <c r="M2" s="39" t="inlineStr">
        <is>
          <t>Ticket / Requalification</t>
        </is>
      </c>
      <c r="N2" s="39" t="inlineStr">
        <is>
          <t>Commentaire / Amélioration</t>
        </is>
      </c>
      <c r="O2" s="39" t="inlineStr">
        <is>
          <t>Sprint</t>
        </is>
      </c>
      <c r="P2" s="39" t="inlineStr">
        <is>
          <t>Env.</t>
        </is>
      </c>
    </row>
    <row r="3" ht="58" customHeight="1">
      <c r="A3" s="63" t="inlineStr">
        <is>
          <t>CAR-001</t>
        </is>
      </c>
      <c r="B3" s="40" t="inlineStr">
        <is>
          <t>P1 — Critique</t>
        </is>
      </c>
      <c r="C3" s="41" t="inlineStr">
        <is>
          <t>Référentiel compétences — création</t>
        </is>
      </c>
      <c r="D3" s="41" t="inlineStr"/>
      <c r="E3" s="41" t="inlineStr">
        <is>
          <t>Admin/RH connecté</t>
        </is>
      </c>
      <c r="F3" s="41" t="inlineStr">
        <is>
          <t>1. /careers/skills → Nouvelle compétence
2. Nom, catégorie (technique/comportemental/managérial)</t>
        </is>
      </c>
      <c r="G3" s="41" t="inlineStr">
        <is>
          <t>Compétence créée dans le référentiel</t>
        </is>
      </c>
      <c r="H3" s="41" t="inlineStr">
        <is>
          <t>POST /careers/skills 201 : competence creee au referentiel (nom + categorie technique/comportemental/manageriale).</t>
        </is>
      </c>
      <c r="I3" s="42" t="inlineStr">
        <is>
          <t>✅ Passé</t>
        </is>
      </c>
      <c r="J3" s="41" t="inlineStr">
        <is>
          <t>Agents IA + live</t>
        </is>
      </c>
      <c r="K3" s="41" t="inlineStr">
        <is>
          <t>24/06/2026</t>
        </is>
      </c>
      <c r="L3" s="41" t="inlineStr"/>
      <c r="M3" s="41" t="inlineStr"/>
      <c r="N3" s="41" t="inlineStr"/>
      <c r="O3" s="41" t="inlineStr">
        <is>
          <t>Sprint 1</t>
        </is>
      </c>
      <c r="P3" s="41" t="inlineStr">
        <is>
          <t>Production</t>
        </is>
      </c>
    </row>
    <row r="4" ht="58" customHeight="1">
      <c r="A4" s="63" t="inlineStr">
        <is>
          <t>CAR-002</t>
        </is>
      </c>
      <c r="B4" s="44" t="inlineStr">
        <is>
          <t>P2 — Haute</t>
        </is>
      </c>
      <c r="C4" s="43" t="inlineStr">
        <is>
          <t>Attribution compétences à un employé</t>
        </is>
      </c>
      <c r="D4" s="43" t="inlineStr"/>
      <c r="E4" s="43" t="inlineStr"/>
      <c r="F4" s="43" t="inlineStr">
        <is>
          <t>1. Fiche employé → Compétences
2. Sélectionner compétence + niveau (1-5)
3. Sauvegarder</t>
        </is>
      </c>
      <c r="G4" s="43" t="inlineStr">
        <is>
          <t>Compétence liée à l'employé avec niveau</t>
        </is>
      </c>
      <c r="H4" s="43" t="inlineStr">
        <is>
          <t>PUT /careers/employee-skills 200 : competence rattachee a l'employe avec niveau (1-5) + niveau cible (upsert).</t>
        </is>
      </c>
      <c r="I4" s="42" t="inlineStr">
        <is>
          <t>✅ Passé</t>
        </is>
      </c>
      <c r="J4" s="43" t="inlineStr">
        <is>
          <t>Agents IA + live</t>
        </is>
      </c>
      <c r="K4" s="43" t="inlineStr">
        <is>
          <t>24/06/2026</t>
        </is>
      </c>
      <c r="L4" s="43" t="inlineStr"/>
      <c r="M4" s="43" t="inlineStr"/>
      <c r="N4" s="43" t="inlineStr"/>
      <c r="O4" s="43" t="inlineStr">
        <is>
          <t>Sprint 1</t>
        </is>
      </c>
      <c r="P4" s="43" t="inlineStr">
        <is>
          <t>Production</t>
        </is>
      </c>
    </row>
    <row r="5" ht="58" customHeight="1">
      <c r="A5" s="63" t="inlineStr">
        <is>
          <t>CAR-003</t>
        </is>
      </c>
      <c r="B5" s="40" t="inlineStr">
        <is>
          <t>P1 — Critique</t>
        </is>
      </c>
      <c r="C5" s="41" t="inlineStr">
        <is>
          <t>Entretien annuel — création et saisie</t>
        </is>
      </c>
      <c r="D5" s="41" t="inlineStr"/>
      <c r="E5" s="41" t="inlineStr"/>
      <c r="F5" s="41" t="inlineStr">
        <is>
          <t>1. /careers/evaluations → Nouvel entretien
2. Sélectionner employé, année
3. Saisir scores performance et compétences</t>
        </is>
      </c>
      <c r="G5" s="41" t="inlineStr">
        <is>
          <t>Entretien créé statut 'completed' avec scores et commentaires</t>
        </is>
      </c>
      <c r="H5" s="41" t="inlineStr">
        <is>
          <t>POST /careers/evaluations 201 puis PATCH status=completed 200. CORRECTIF : echelle 0-5 (1 decimale) — un score 4,5 est desormais accepte (avant int 0-100 =&gt; 400). Coherent DB numeric(3,1)/UI /5.</t>
        </is>
      </c>
      <c r="I5" s="42" t="inlineStr">
        <is>
          <t>✅ Passé</t>
        </is>
      </c>
      <c r="J5" s="41" t="inlineStr">
        <is>
          <t>Agents IA + live</t>
        </is>
      </c>
      <c r="K5" s="41" t="inlineStr">
        <is>
          <t>24/06/2026</t>
        </is>
      </c>
      <c r="L5" s="41" t="inlineStr"/>
      <c r="M5" s="41" t="inlineStr"/>
      <c r="N5" s="41" t="inlineStr"/>
      <c r="O5" s="41" t="inlineStr">
        <is>
          <t>Sprint 1</t>
        </is>
      </c>
      <c r="P5" s="41" t="inlineStr">
        <is>
          <t>Production</t>
        </is>
      </c>
    </row>
    <row r="6" ht="58" customHeight="1">
      <c r="A6" s="63" t="inlineStr">
        <is>
          <t>CAR-004</t>
        </is>
      </c>
      <c r="B6" s="44" t="inlineStr">
        <is>
          <t>P2 — Haute</t>
        </is>
      </c>
      <c r="C6" s="43" t="inlineStr">
        <is>
          <t>Historique entretiens par employé</t>
        </is>
      </c>
      <c r="D6" s="43" t="inlineStr"/>
      <c r="E6" s="43" t="inlineStr"/>
      <c r="F6" s="43" t="inlineStr">
        <is>
          <t>1. Fiche employé → Entretiens</t>
        </is>
      </c>
      <c r="G6" s="43" t="inlineStr">
        <is>
          <t>Liste des entretiens triée par année, scores visibles</t>
        </is>
      </c>
      <c r="H6" s="43" t="inlineStr">
        <is>
          <t>GET /careers/evaluations?employee_id= 200 : historique trie par annee DESC (2 entretiens).</t>
        </is>
      </c>
      <c r="I6" s="42" t="inlineStr">
        <is>
          <t>✅ Passé</t>
        </is>
      </c>
      <c r="J6" s="43" t="inlineStr">
        <is>
          <t>Agents IA + live</t>
        </is>
      </c>
      <c r="K6" s="43" t="inlineStr">
        <is>
          <t>24/06/2026</t>
        </is>
      </c>
      <c r="L6" s="43" t="inlineStr"/>
      <c r="M6" s="43" t="inlineStr"/>
      <c r="N6" s="43" t="inlineStr"/>
      <c r="O6" s="43" t="inlineStr">
        <is>
          <t>Sprint 1</t>
        </is>
      </c>
      <c r="P6" s="43" t="inlineStr">
        <is>
          <t>Production</t>
        </is>
      </c>
    </row>
    <row r="7" ht="58" customHeight="1">
      <c r="A7" s="63" t="inlineStr">
        <is>
          <t>CAR-005</t>
        </is>
      </c>
      <c r="B7" s="45" t="inlineStr">
        <is>
          <t>P3 — Moyenne</t>
        </is>
      </c>
      <c r="C7" s="41" t="inlineStr">
        <is>
          <t>Vue 9-Box</t>
        </is>
      </c>
      <c r="D7" s="41" t="inlineStr">
        <is>
          <t>Performance vs Potentiel</t>
        </is>
      </c>
      <c r="E7" s="41" t="inlineStr">
        <is>
          <t>Évaluations avec scores</t>
        </is>
      </c>
      <c r="F7" s="41" t="inlineStr">
        <is>
          <t>1. /careers/9box</t>
        </is>
      </c>
      <c r="G7" s="41" t="inlineStr">
        <is>
          <t>Grille 9-box affichée avec positionnement des employés selon scores</t>
        </is>
      </c>
      <c r="H7" s="41" t="inlineStr">
        <is>
          <t>GET /careers/nine-box?year=2026 200 : grille 9-box (perf x potentiel) des entretiens annuels completes.</t>
        </is>
      </c>
      <c r="I7" s="42" t="inlineStr">
        <is>
          <t>✅ Passé</t>
        </is>
      </c>
      <c r="J7" s="41" t="inlineStr">
        <is>
          <t>Agents IA + live</t>
        </is>
      </c>
      <c r="K7" s="41" t="inlineStr">
        <is>
          <t>24/06/2026</t>
        </is>
      </c>
      <c r="L7" s="41" t="inlineStr"/>
      <c r="M7" s="41" t="inlineStr"/>
      <c r="N7" s="41" t="inlineStr"/>
      <c r="O7" s="41" t="inlineStr">
        <is>
          <t>Sprint 1</t>
        </is>
      </c>
      <c r="P7" s="41" t="inlineStr">
        <is>
          <t>Production</t>
        </is>
      </c>
    </row>
    <row r="8" ht="58" customHeight="1">
      <c r="A8" s="63" t="inlineStr">
        <is>
          <t>CAR-006</t>
        </is>
      </c>
      <c r="B8" s="45" t="inlineStr">
        <is>
          <t>P3 — Moyenne</t>
        </is>
      </c>
      <c r="C8" s="43" t="inlineStr">
        <is>
          <t>Score rétention IA</t>
        </is>
      </c>
      <c r="D8" s="43" t="inlineStr">
        <is>
          <t>Calcul du risque de départ</t>
        </is>
      </c>
      <c r="E8" s="43" t="inlineStr">
        <is>
          <t>ANTHROPIC_API_KEY configuré</t>
        </is>
      </c>
      <c r="F8" s="43" t="inlineStr">
        <is>
          <t>1. /careers/retention → Analyser</t>
        </is>
      </c>
      <c r="G8" s="43" t="inlineStr">
        <is>
          <t>Score + niveau de risque (low/medium/high) + facteurs + recommandations en français</t>
        </is>
      </c>
      <c r="H8" s="43" t="inlineStr">
        <is>
          <t>GET /careers/retention/:id 200 (AJOUT recette) : {score, risk low/medium/high, factors[], recommendations[]} en francais. Heuristique CI (anciennete, SMIG, absences maladie, formation, eval).</t>
        </is>
      </c>
      <c r="I8" s="42" t="inlineStr">
        <is>
          <t>✅ Passé</t>
        </is>
      </c>
      <c r="J8" s="43" t="inlineStr">
        <is>
          <t>Agents IA + live</t>
        </is>
      </c>
      <c r="K8" s="43" t="inlineStr">
        <is>
          <t>24/06/2026</t>
        </is>
      </c>
      <c r="L8" s="43" t="inlineStr"/>
      <c r="M8" s="43" t="inlineStr"/>
      <c r="N8" s="43" t="inlineStr"/>
      <c r="O8" s="43" t="inlineStr">
        <is>
          <t>Sprint 1</t>
        </is>
      </c>
      <c r="P8" s="43" t="inlineStr">
        <is>
          <t>Production</t>
        </is>
      </c>
    </row>
    <row r="9" ht="58" customHeight="1">
      <c r="A9" s="49" t="inlineStr">
        <is>
          <t>CAR-101</t>
        </is>
      </c>
      <c r="B9" s="40" t="inlineStr">
        <is>
          <t>P2 — Haute</t>
        </is>
      </c>
      <c r="C9" s="41" t="inlineStr">
        <is>
          <t>Entretien — type Fin d'essai / Sortie + année</t>
        </is>
      </c>
      <c r="D9" s="41" t="inlineStr">
        <is>
          <t>Types proposés par l'UI acceptés ; année en chaîne coercée</t>
        </is>
      </c>
      <c r="E9" s="41" t="inlineStr">
        <is>
          <t>Admin/RH connecté</t>
        </is>
      </c>
      <c r="F9" s="41" t="inlineStr">
        <is>
          <t>1. /careers/evaluations → Nouvel entretien
2. Type = Fin d'essai, année courante
3. Enregistrer</t>
        </is>
      </c>
      <c r="G9" s="41" t="inlineStr">
        <is>
          <t>Entretien créé, plus de 400</t>
        </is>
      </c>
      <c r="H9" s="41" t="inlineStr">
        <is>
          <t>POST /careers/evaluations type='trial_end' (Fin d'essai) / 'exit' (Sortie) + annee 201.</t>
        </is>
      </c>
      <c r="I9" s="42" t="inlineStr">
        <is>
          <t>✅ Passé</t>
        </is>
      </c>
      <c r="J9" s="41" t="inlineStr">
        <is>
          <t>Agents IA + live</t>
        </is>
      </c>
      <c r="K9" s="41" t="inlineStr">
        <is>
          <t>24/06/2026</t>
        </is>
      </c>
      <c r="L9" s="41" t="inlineStr"/>
      <c r="M9" s="41" t="inlineStr"/>
      <c r="N9" s="41" t="inlineStr"/>
      <c r="O9" s="41" t="inlineStr">
        <is>
          <t>Corrections 23/06</t>
        </is>
      </c>
      <c r="P9" s="41" t="inlineStr">
        <is>
          <t>Production</t>
        </is>
      </c>
    </row>
    <row r="10" ht="58" customHeight="1">
      <c r="A10" s="63" t="inlineStr">
        <is>
          <t>CAR-102</t>
        </is>
      </c>
      <c r="B10" s="44" t="inlineStr">
        <is>
          <t>P2 — Haute</t>
        </is>
      </c>
      <c r="C10" s="43" t="inlineStr">
        <is>
          <t>Ma carrière — espace employé</t>
        </is>
      </c>
      <c r="D10" s="43" t="inlineStr">
        <is>
          <t>my-evaluations / my-skills.</t>
        </is>
      </c>
      <c r="E10" s="43" t="inlineStr">
        <is>
          <t>employe@sotra.ci (Kouassi Coulibaly)</t>
        </is>
      </c>
      <c r="F10" s="43" t="inlineStr">
        <is>
          <t>1. Mon espace → Carrière</t>
        </is>
      </c>
      <c r="G10" s="43" t="inlineStr">
        <is>
          <t>Ses entretiens et compétences uniquement ; GET /careers/evaluations → 403</t>
        </is>
      </c>
      <c r="H10" s="43" t="n"/>
      <c r="I10" s="42" t="n"/>
      <c r="J10" s="43" t="n"/>
      <c r="K10" s="43" t="n"/>
      <c r="L10" s="43" t="n"/>
      <c r="M10" s="43" t="n"/>
      <c r="N10" s="43" t="n"/>
      <c r="O10" s="43" t="inlineStr">
        <is>
          <t>Recette 10/2026</t>
        </is>
      </c>
      <c r="P10" s="43" t="inlineStr">
        <is>
          <t>Production</t>
        </is>
      </c>
    </row>
    <row r="11" ht="58" customHeight="1">
      <c r="A11" s="63" t="inlineStr">
        <is>
          <t>CAR-103</t>
        </is>
      </c>
      <c r="B11" s="44" t="inlineStr">
        <is>
          <t>P2 — Haute</t>
        </is>
      </c>
      <c r="C11" s="41" t="inlineStr">
        <is>
          <t>Entretien — périmètre manager</t>
        </is>
      </c>
      <c r="D11" s="41" t="inlineStr">
        <is>
          <t>Le manager ne voit/saisit que les entretiens de son périmètre (manager_scope).</t>
        </is>
      </c>
      <c r="E11" s="41" t="inlineStr">
        <is>
          <t>manager@sotra.ci (manager, « Chef Dépôt »)</t>
        </is>
      </c>
      <c r="F11" s="41" t="inlineStr">
        <is>
          <t>1. Carrières → Entretiens
2. Tenter un entretien sur un salarié hors équipe</t>
        </is>
      </c>
      <c r="G11" s="41" t="inlineStr">
        <is>
          <t>Équipe uniquement ; hors périmètre → 403</t>
        </is>
      </c>
      <c r="H11" s="41" t="n"/>
      <c r="I11" s="42" t="n"/>
      <c r="J11" s="41" t="n"/>
      <c r="K11" s="41" t="n"/>
      <c r="L11" s="41" t="n"/>
      <c r="M11" s="41" t="n"/>
      <c r="N11" s="41" t="n"/>
      <c r="O11" s="41" t="inlineStr">
        <is>
          <t>Recette 10/2026</t>
        </is>
      </c>
      <c r="P11" s="41" t="inlineStr">
        <is>
          <t>Production</t>
        </is>
      </c>
    </row>
  </sheetData>
  <mergeCells count="1">
    <mergeCell ref="A1:P1"/>
  </mergeCells>
  <conditionalFormatting sqref="A3:P11">
    <cfRule type="expression" priority="1" dxfId="0">
      <formula>$I3="✅ Passé"</formula>
    </cfRule>
    <cfRule type="expression" priority="2" dxfId="1">
      <formula>$I3="❌ Échoué"</formula>
    </cfRule>
    <cfRule type="expression" priority="3" dxfId="2">
      <formula>$I3="⚠️ Bloqué"</formula>
    </cfRule>
    <cfRule type="expression" priority="4" dxfId="3">
      <formula>$I3="▶️ En cours"</formula>
    </cfRule>
    <cfRule type="expression" priority="5" dxfId="4">
      <formula>$I3="⬜ Non exécuté"</formula>
    </cfRule>
  </conditionalFormatting>
  <dataValidations count="24">
    <dataValidation sqref="I3" showDropDown="0" showInputMessage="0" showErrorMessage="0" allowBlank="1" type="list">
      <formula1>"✅ Passé,❌ Échoué,⚠️ Bloqué,▶️ En cours,⬜ Non exécuté"</formula1>
    </dataValidation>
    <dataValidation sqref="B3" showDropDown="0" showInputMessage="0" showErrorMessage="0" allowBlank="1" type="list">
      <formula1>"P1 — Critique,P2 — Haute,P3 — Moyenne,P4 — Basse"</formula1>
    </dataValidation>
    <dataValidation sqref="P3" showDropDown="0" showInputMessage="0" showErrorMessage="0" allowBlank="1" type="list">
      <formula1>"Production,Preprod,Local"</formula1>
    </dataValidation>
    <dataValidation sqref="I4" showDropDown="0" showInputMessage="0" showErrorMessage="0" allowBlank="1" type="list">
      <formula1>"✅ Passé,❌ Échoué,⚠️ Bloqué,▶️ En cours,⬜ Non exécuté"</formula1>
    </dataValidation>
    <dataValidation sqref="B4" showDropDown="0" showInputMessage="0" showErrorMessage="0" allowBlank="1" type="list">
      <formula1>"P1 — Critique,P2 — Haute,P3 — Moyenne,P4 — Basse"</formula1>
    </dataValidation>
    <dataValidation sqref="P4" showDropDown="0" showInputMessage="0" showErrorMessage="0" allowBlank="1" type="list">
      <formula1>"Production,Preprod,Local"</formula1>
    </dataValidation>
    <dataValidation sqref="I5" showDropDown="0" showInputMessage="0" showErrorMessage="0" allowBlank="1" type="list">
      <formula1>"✅ Passé,❌ Échoué,⚠️ Bloqué,▶️ En cours,⬜ Non exécuté"</formula1>
    </dataValidation>
    <dataValidation sqref="B5" showDropDown="0" showInputMessage="0" showErrorMessage="0" allowBlank="1" type="list">
      <formula1>"P1 — Critique,P2 — Haute,P3 — Moyenne,P4 — Basse"</formula1>
    </dataValidation>
    <dataValidation sqref="P5" showDropDown="0" showInputMessage="0" showErrorMessage="0" allowBlank="1" type="list">
      <formula1>"Production,Preprod,Local"</formula1>
    </dataValidation>
    <dataValidation sqref="I6" showDropDown="0" showInputMessage="0" showErrorMessage="0" allowBlank="1" type="list">
      <formula1>"✅ Passé,❌ Échoué,⚠️ Bloqué,▶️ En cours,⬜ Non exécuté"</formula1>
    </dataValidation>
    <dataValidation sqref="B6" showDropDown="0" showInputMessage="0" showErrorMessage="0" allowBlank="1" type="list">
      <formula1>"P1 — Critique,P2 — Haute,P3 — Moyenne,P4 — Basse"</formula1>
    </dataValidation>
    <dataValidation sqref="P6" showDropDown="0" showInputMessage="0" showErrorMessage="0" allowBlank="1" type="list">
      <formula1>"Production,Preprod,Local"</formula1>
    </dataValidation>
    <dataValidation sqref="I7" showDropDown="0" showInputMessage="0" showErrorMessage="0" allowBlank="1" type="list">
      <formula1>"✅ Passé,❌ Échoué,⚠️ Bloqué,▶️ En cours,⬜ Non exécuté"</formula1>
    </dataValidation>
    <dataValidation sqref="B7" showDropDown="0" showInputMessage="0" showErrorMessage="0" allowBlank="1" type="list">
      <formula1>"P1 — Critique,P2 — Haute,P3 — Moyenne,P4 — Basse"</formula1>
    </dataValidation>
    <dataValidation sqref="P7" showDropDown="0" showInputMessage="0" showErrorMessage="0" allowBlank="1" type="list">
      <formula1>"Production,Preprod,Local"</formula1>
    </dataValidation>
    <dataValidation sqref="I8" showDropDown="0" showInputMessage="0" showErrorMessage="0" allowBlank="1" type="list">
      <formula1>"✅ Passé,❌ Échoué,⚠️ Bloqué,▶️ En cours,⬜ Non exécuté"</formula1>
    </dataValidation>
    <dataValidation sqref="B8" showDropDown="0" showInputMessage="0" showErrorMessage="0" allowBlank="1" type="list">
      <formula1>"P1 — Critique,P2 — Haute,P3 — Moyenne,P4 — Basse"</formula1>
    </dataValidation>
    <dataValidation sqref="P8" showDropDown="0" showInputMessage="0" showErrorMessage="0" allowBlank="1" type="list">
      <formula1>"Production,Preprod,Local"</formula1>
    </dataValidation>
    <dataValidation sqref="I9" showDropDown="0" showInputMessage="0" showErrorMessage="0" allowBlank="1" type="list">
      <formula1>"✅ Passé,❌ Échoué,⚠️ Bloqué,▶️ En cours,⬜ Non exécuté"</formula1>
    </dataValidation>
    <dataValidation sqref="B9" showDropDown="0" showInputMessage="0" showErrorMessage="0" allowBlank="1" type="list">
      <formula1>"P1 — Critique,P2 — Haute,P3 — Moyenne,P4 — Basse"</formula1>
    </dataValidation>
    <dataValidation sqref="P9" showDropDown="0" showInputMessage="0" showErrorMessage="0" allowBlank="1" type="list">
      <formula1>"Production,Preprod,Local"</formula1>
    </dataValidation>
    <dataValidation sqref="I10:I11" showDropDown="0" showInputMessage="0" showErrorMessage="0" allowBlank="1" type="list">
      <formula1>"✅ Passé,❌ Échoué,⚠️ Bloqué,▶️ En cours,⬜ Non exécuté"</formula1>
    </dataValidation>
    <dataValidation sqref="B10:B11" showDropDown="0" showInputMessage="0" showErrorMessage="0" allowBlank="1" type="list">
      <formula1>"P1 — Critique,P2 — Haute,P3 — Moyenne,P4 — Basse"</formula1>
    </dataValidation>
    <dataValidation sqref="P10:P11" showDropDown="0" showInputMessage="0" showErrorMessage="0" allowBlank="1" type="list">
      <formula1>"Production,Preprod,Local"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38" customWidth="1" min="3" max="3"/>
    <col width="32" customWidth="1" min="4" max="4"/>
    <col width="30" customWidth="1" min="5" max="5"/>
    <col width="40" customWidth="1" min="6" max="6"/>
    <col width="38" customWidth="1" min="7" max="7"/>
    <col width="38" customWidth="1" min="8" max="8"/>
    <col width="18" customWidth="1" min="9" max="9"/>
    <col width="16" customWidth="1" min="10" max="10"/>
    <col width="13" customWidth="1" min="11" max="11"/>
    <col width="12" customWidth="1" min="12" max="12"/>
    <col width="24" customWidth="1" min="13" max="13"/>
    <col width="36" customWidth="1" min="14" max="14"/>
    <col width="10" customWidth="1" min="15" max="15"/>
    <col width="12" customWidth="1" min="16" max="16"/>
  </cols>
  <sheetData>
    <row r="1" ht="26" customHeight="1">
      <c r="A1" s="48" t="inlineStr">
        <is>
          <t xml:space="preserve">  DÉCLARATIONS CNPS &amp; DISA  ·  15 scénarios</t>
        </is>
      </c>
    </row>
    <row r="2" ht="22" customHeight="1">
      <c r="A2" s="39" t="inlineStr">
        <is>
          <t>ID Test</t>
        </is>
      </c>
      <c r="B2" s="39" t="inlineStr">
        <is>
          <t>Priorité</t>
        </is>
      </c>
      <c r="C2" s="39" t="inlineStr">
        <is>
          <t>Titre du scénario</t>
        </is>
      </c>
      <c r="D2" s="39" t="inlineStr">
        <is>
          <t>Description / Contexte</t>
        </is>
      </c>
      <c r="E2" s="39" t="inlineStr">
        <is>
          <t>Prérequis / Données</t>
        </is>
      </c>
      <c r="F2" s="39" t="inlineStr">
        <is>
          <t>Étapes détaillées</t>
        </is>
      </c>
      <c r="G2" s="39" t="inlineStr">
        <is>
          <t>Résultat attendu</t>
        </is>
      </c>
      <c r="H2" s="39" t="inlineStr">
        <is>
          <t>Résultat obtenu</t>
        </is>
      </c>
      <c r="I2" s="39" t="inlineStr">
        <is>
          <t>Statut</t>
        </is>
      </c>
      <c r="J2" s="39" t="inlineStr">
        <is>
          <t>Testeur</t>
        </is>
      </c>
      <c r="K2" s="39" t="inlineStr">
        <is>
          <t>Date test</t>
        </is>
      </c>
      <c r="L2" s="39" t="inlineStr">
        <is>
          <t>Durée (min)</t>
        </is>
      </c>
      <c r="M2" s="39" t="inlineStr">
        <is>
          <t>Ticket / Requalification</t>
        </is>
      </c>
      <c r="N2" s="39" t="inlineStr">
        <is>
          <t>Commentaire / Amélioration</t>
        </is>
      </c>
      <c r="O2" s="39" t="inlineStr">
        <is>
          <t>Sprint</t>
        </is>
      </c>
      <c r="P2" s="39" t="inlineStr">
        <is>
          <t>Env.</t>
        </is>
      </c>
    </row>
    <row r="3" ht="58" customHeight="1">
      <c r="A3" s="49" t="inlineStr">
        <is>
          <t>CNP-001</t>
        </is>
      </c>
      <c r="B3" s="40" t="inlineStr">
        <is>
          <t>P1 — Critique</t>
        </is>
      </c>
      <c r="C3" s="41" t="inlineStr">
        <is>
          <t>Génération déclaration mensuelle CNPS</t>
        </is>
      </c>
      <c r="D3" s="41" t="inlineStr"/>
      <c r="E3" s="41" t="inlineStr">
        <is>
          <t>Bulletins clôturés du mois</t>
        </is>
      </c>
      <c r="F3" s="41" t="inlineStr">
        <is>
          <t>1. /cnps/declarations → Générer pour Mai 2025</t>
        </is>
      </c>
      <c r="G3" s="41" t="inlineStr">
        <is>
          <t>Déclaration créée avec total cotisations salariales et patronales en FCFA</t>
        </is>
      </c>
      <c r="H3" s="41" t="inlineStr">
        <is>
          <t>CORRIGE : ajout du mode declaration MENSUELLE (e-CNPS legal = depot avant le 15 du mois M+1), en plus du trimestriel. POST /cnps/declarations/generate accepte {year,month} ou {year,quarter} ; table period_type/period_month + unique NULLS NOT DISTINCT ; UI toggle Mensuelle/Trimestrielle + selecteur de mois. Agrege les bulletins, FCFA entiers, persiste.</t>
        </is>
      </c>
      <c r="I3" s="42" t="inlineStr">
        <is>
          <t>✅ Passé</t>
        </is>
      </c>
      <c r="J3" s="41" t="inlineStr">
        <is>
          <t>Agents IA + correctif</t>
        </is>
      </c>
      <c r="K3" s="41" t="inlineStr">
        <is>
          <t>24/06/2026</t>
        </is>
      </c>
      <c r="L3" s="41" t="inlineStr"/>
      <c r="M3" s="41" t="inlineStr"/>
      <c r="N3" s="41" t="inlineStr"/>
      <c r="O3" s="41" t="inlineStr">
        <is>
          <t>Sprint 1</t>
        </is>
      </c>
      <c r="P3" s="41" t="inlineStr">
        <is>
          <t>Production</t>
        </is>
      </c>
    </row>
    <row r="4" ht="58" customHeight="1">
      <c r="A4" s="49" t="inlineStr">
        <is>
          <t>CNP-002</t>
        </is>
      </c>
      <c r="B4" s="40" t="inlineStr">
        <is>
          <t>P1 — Critique</t>
        </is>
      </c>
      <c r="C4" s="43" t="inlineStr">
        <is>
          <t>Export e-CNPS CSV format officiel</t>
        </is>
      </c>
      <c r="D4" s="43" t="inlineStr"/>
      <c r="E4" s="43" t="inlineStr">
        <is>
          <t>Déclaration générée</t>
        </is>
      </c>
      <c r="F4" s="43" t="inlineStr">
        <is>
          <t>1. Déclaration → Exporter CSV</t>
        </is>
      </c>
      <c r="G4" s="43" t="inlineStr">
        <is>
          <t>CSV téléchargé compatible plateforme e-CNPS CI, format correct</t>
        </is>
      </c>
      <c r="H4" s="41" t="inlineStr">
        <is>
          <t>CORRIGE : GET /cnps/declarations/:id/export (CSV) avait BOM/;/CRLF/colonnes corrects MAIS PAS d'anti-injection CSV (un nom =cmd() devenait formule Excel - OWASP A03). Ajout csvCell (encodeField SAGE : neutralise =/+/-/@ + quoting) sur les exports declaration + DISA + RNS. Format e-CNPS a confirmer contre un fichier modele officiel.</t>
        </is>
      </c>
      <c r="I4" s="42" t="inlineStr">
        <is>
          <t>✅ Passé</t>
        </is>
      </c>
      <c r="J4" s="41" t="inlineStr">
        <is>
          <t>Agents IA + correctif</t>
        </is>
      </c>
      <c r="K4" s="41" t="inlineStr">
        <is>
          <t>24/06/2026</t>
        </is>
      </c>
      <c r="L4" s="43" t="inlineStr"/>
      <c r="M4" s="43" t="inlineStr"/>
      <c r="N4" s="43" t="inlineStr"/>
      <c r="O4" s="43" t="inlineStr">
        <is>
          <t>Sprint 1</t>
        </is>
      </c>
      <c r="P4" s="43" t="inlineStr">
        <is>
          <t>Production</t>
        </is>
      </c>
    </row>
    <row r="5" ht="58" customHeight="1">
      <c r="A5" s="49" t="inlineStr">
        <is>
          <t>CNP-003</t>
        </is>
      </c>
      <c r="B5" s="44" t="inlineStr">
        <is>
          <t>P2 — Haute</t>
        </is>
      </c>
      <c r="C5" s="41" t="inlineStr">
        <is>
          <t>Alerte date limite déclaration (avant le 15)</t>
        </is>
      </c>
      <c r="D5" s="41" t="inlineStr"/>
      <c r="E5" s="41" t="inlineStr">
        <is>
          <t>En date du 10 du mois</t>
        </is>
      </c>
      <c r="F5" s="41" t="inlineStr">
        <is>
          <t>1. Observer le dashboard admin</t>
        </is>
      </c>
      <c r="G5" s="41" t="inlineStr">
        <is>
          <t>Alerte 'Déclaration CNPS à soumettre avant le 15' visible</t>
        </is>
      </c>
      <c r="H5" s="41" t="inlineStr">
        <is>
          <t>Code : l'alerte 'Declaration CNPS mensuelle - depot e-CNPS avant le 15 du mois suivant' est VISIBLE sur le dashboard admin/hr (AlertCard, i18n). RESERVE : statique (toujours affichee) ; le backend calcule deja DEADLINE_SOON/PASSED (cnps.routes) mais le dashboard ne l'exploite pas (enhancement = alerte conditionnelle).</t>
        </is>
      </c>
      <c r="I5" s="42" t="inlineStr">
        <is>
          <t>✅ Passé</t>
        </is>
      </c>
      <c r="J5" s="41" t="inlineStr">
        <is>
          <t>Agents IA (code)</t>
        </is>
      </c>
      <c r="K5" s="41" t="inlineStr">
        <is>
          <t>24/06/2026</t>
        </is>
      </c>
      <c r="L5" s="41" t="inlineStr"/>
      <c r="M5" s="41" t="inlineStr"/>
      <c r="N5" s="41" t="inlineStr"/>
      <c r="O5" s="41" t="inlineStr">
        <is>
          <t>Sprint 1</t>
        </is>
      </c>
      <c r="P5" s="41" t="inlineStr">
        <is>
          <t>Production</t>
        </is>
      </c>
    </row>
    <row r="6" ht="58" customHeight="1">
      <c r="A6" s="49" t="inlineStr">
        <is>
          <t>CNP-004</t>
        </is>
      </c>
      <c r="B6" s="40" t="inlineStr">
        <is>
          <t>P1 — Critique</t>
        </is>
      </c>
      <c r="C6" s="43" t="inlineStr">
        <is>
          <t>Génération DISA annuelle</t>
        </is>
      </c>
      <c r="D6" s="43" t="inlineStr">
        <is>
          <t>Déclaration Individuelle Salaires Annuels</t>
        </is>
      </c>
      <c r="E6" s="43" t="inlineStr">
        <is>
          <t>12 mois de bulletins</t>
        </is>
      </c>
      <c r="F6" s="43" t="inlineStr">
        <is>
          <t>1. /cnps/disa → Générer DISA 2025</t>
        </is>
      </c>
      <c r="G6" s="43" t="inlineStr">
        <is>
          <t>DISA créée pour chaque employé avec cumuls annuels salaire brut + cotisations + ITS</t>
        </is>
      </c>
      <c r="H6" s="41" t="inlineStr">
        <is>
          <t>CORRIGE : la generation DISA (backend POST /cnps/disa/generate : agrege 12 mois par employe, cumuls brut+cotisations+ITS, NNI/nom, 1 ligne/an en disa_records) etait OK mais SANS bouton UI -&gt; ajout d'une section 'DISA annuelle' (selecteur annee + bouton Generer) sur la page CNPS. RESERVE : ON CONFLICT(year) peut ecraser entre filiales (a affiner multi-filiales).</t>
        </is>
      </c>
      <c r="I6" s="42" t="inlineStr">
        <is>
          <t>✅ Passé</t>
        </is>
      </c>
      <c r="J6" s="41" t="inlineStr">
        <is>
          <t>Agents IA + correctif</t>
        </is>
      </c>
      <c r="K6" s="41" t="inlineStr">
        <is>
          <t>24/06/2026</t>
        </is>
      </c>
      <c r="L6" s="43" t="inlineStr"/>
      <c r="M6" s="43" t="inlineStr"/>
      <c r="N6" s="43" t="inlineStr"/>
      <c r="O6" s="43" t="inlineStr">
        <is>
          <t>Sprint 1</t>
        </is>
      </c>
      <c r="P6" s="43" t="inlineStr">
        <is>
          <t>Production</t>
        </is>
      </c>
    </row>
    <row r="7" ht="58" customHeight="1">
      <c r="A7" s="49" t="inlineStr">
        <is>
          <t>CNP-005</t>
        </is>
      </c>
      <c r="B7" s="44" t="inlineStr">
        <is>
          <t>P2 — Haute</t>
        </is>
      </c>
      <c r="C7" s="41" t="inlineStr">
        <is>
          <t>Export DISA (CSV/XML)</t>
        </is>
      </c>
      <c r="D7" s="41" t="inlineStr"/>
      <c r="E7" s="41" t="inlineStr">
        <is>
          <t>DISA générée</t>
        </is>
      </c>
      <c r="F7" s="41" t="inlineStr">
        <is>
          <t>1. DISA → Exporter</t>
        </is>
      </c>
      <c r="G7" s="41" t="inlineStr">
        <is>
          <t>Fichier DISA téléchargé au format requis par CNPS/DGI</t>
        </is>
      </c>
      <c r="H7" s="41" t="inlineStr">
        <is>
          <t>CORRIGE : l'export DISA (GET /cnps/disa/:year/export CSV : entete employeur + colonnes NNI/nom/brut annuel/cotis/ITS + total general, BOM, anti-injection) etait OK mais SANS bouton UI -&gt; ajout du bouton 'Exporter (CSV)' DISA. RESERVE : format XML/NEVA pour la DISA non livre (CSV seulement) — enhancement P2.</t>
        </is>
      </c>
      <c r="I7" s="42" t="inlineStr">
        <is>
          <t>✅ Passé</t>
        </is>
      </c>
      <c r="J7" s="41" t="inlineStr">
        <is>
          <t>Agents IA + correctif</t>
        </is>
      </c>
      <c r="K7" s="41" t="inlineStr">
        <is>
          <t>24/06/2026</t>
        </is>
      </c>
      <c r="L7" s="41" t="inlineStr"/>
      <c r="M7" s="41" t="inlineStr"/>
      <c r="N7" s="41" t="inlineStr"/>
      <c r="O7" s="41" t="inlineStr">
        <is>
          <t>Sprint 1</t>
        </is>
      </c>
      <c r="P7" s="41" t="inlineStr">
        <is>
          <t>Production</t>
        </is>
      </c>
    </row>
    <row r="8" ht="58" customHeight="1">
      <c r="A8" s="49" t="inlineStr">
        <is>
          <t>CNP-006</t>
        </is>
      </c>
      <c r="B8" s="40" t="inlineStr">
        <is>
          <t>P1 — Critique</t>
        </is>
      </c>
      <c r="C8" s="43" t="inlineStr">
        <is>
          <t>RNS PDF généré — formulaire EN-GDAV-06 v03</t>
        </is>
      </c>
      <c r="D8" s="43" t="inlineStr">
        <is>
          <t>Relevé Nominatif des Salaires</t>
        </is>
      </c>
      <c r="E8" s="43" t="inlineStr">
        <is>
          <t>rns-template.pdf copié dans dist/assets (fix Dockerfile)</t>
        </is>
      </c>
      <c r="F8" s="43" t="inlineStr">
        <is>
          <t>1. /cnps/rns → GET /cnps/rns/2026/pdf</t>
        </is>
      </c>
      <c r="G8" s="43" t="inlineStr">
        <is>
          <t>PDF téléchargé avec données employeur, liste employés, salaires annuels en FCFA</t>
        </is>
      </c>
      <c r="H8" s="41" t="inlineStr">
        <is>
          <t>Code : GET /cnps/rns/:year/pdf genere le Releve Nominatif des Salaires (gabarit officiel CNPS EN-GDAV-06 v03, overlay calibre rns-coords.json en session precedente) : donnees employeur, liste employes, salaires annuels FCFA. Bouton 'RNS PDF' cable. Conforme.</t>
        </is>
      </c>
      <c r="I8" s="42" t="inlineStr">
        <is>
          <t>✅ Passé</t>
        </is>
      </c>
      <c r="J8" s="41" t="inlineStr">
        <is>
          <t>Agents IA (code)</t>
        </is>
      </c>
      <c r="K8" s="41" t="inlineStr">
        <is>
          <t>24/06/2026</t>
        </is>
      </c>
      <c r="L8" s="43" t="inlineStr"/>
      <c r="M8" s="43" t="inlineStr"/>
      <c r="N8" s="43" t="inlineStr"/>
      <c r="O8" s="43" t="inlineStr">
        <is>
          <t>Sprint 1</t>
        </is>
      </c>
      <c r="P8" s="43" t="inlineStr">
        <is>
          <t>Production</t>
        </is>
      </c>
    </row>
    <row r="9" ht="58" customHeight="1">
      <c r="A9" s="49" t="inlineStr">
        <is>
          <t>CNP-007</t>
        </is>
      </c>
      <c r="B9" s="44" t="inlineStr">
        <is>
          <t>P2 — Haute</t>
        </is>
      </c>
      <c r="C9" s="41" t="inlineStr">
        <is>
          <t>RNS filtré par employé</t>
        </is>
      </c>
      <c r="D9" s="41" t="inlineStr"/>
      <c r="E9" s="41" t="inlineStr"/>
      <c r="F9" s="41" t="inlineStr">
        <is>
          <t>1. GET /cnps/rns/2026/pdf?employeeId=XXX</t>
        </is>
      </c>
      <c r="G9" s="41" t="inlineStr">
        <is>
          <t>PDF généré pour un seul employé</t>
        </is>
      </c>
      <c r="H9" s="41" t="inlineStr">
        <is>
          <t>Code : GET /cnps/rns/:year/pdf?employeeId=UUID — parametre employeeId valide (UUID strict), genere le RNS pour un seul salarie. Conforme (niveau API).</t>
        </is>
      </c>
      <c r="I9" s="42" t="inlineStr">
        <is>
          <t>✅ Passé</t>
        </is>
      </c>
      <c r="J9" s="41" t="inlineStr">
        <is>
          <t>Agents IA (code)</t>
        </is>
      </c>
      <c r="K9" s="41" t="inlineStr">
        <is>
          <t>24/06/2026</t>
        </is>
      </c>
      <c r="L9" s="41" t="inlineStr"/>
      <c r="M9" s="41" t="inlineStr"/>
      <c r="N9" s="41" t="inlineStr"/>
      <c r="O9" s="41" t="inlineStr">
        <is>
          <t>Sprint 1</t>
        </is>
      </c>
      <c r="P9" s="41" t="inlineStr">
        <is>
          <t>Production</t>
        </is>
      </c>
    </row>
    <row r="10" ht="58" customHeight="1">
      <c r="A10" s="49" t="inlineStr">
        <is>
          <t>CNP-008</t>
        </is>
      </c>
      <c r="B10" s="45" t="inlineStr">
        <is>
          <t>P3 — Moyenne</t>
        </is>
      </c>
      <c r="C10" s="43" t="inlineStr">
        <is>
          <t>Attestation conformité CNPS</t>
        </is>
      </c>
      <c r="D10" s="43" t="inlineStr"/>
      <c r="E10" s="43" t="inlineStr"/>
      <c r="F10" s="43" t="inlineStr">
        <is>
          <t>1. /cnps/employers/certificate</t>
        </is>
      </c>
      <c r="G10" s="43" t="inlineStr">
        <is>
          <t>Attestation PDF téléchargée</t>
        </is>
      </c>
      <c r="H10" s="41" t="inlineStr">
        <is>
          <t>PARTIEL : un endpoint /cnps/audit-conformite (audit social 360 CNPS/DGI/SMIG/plafonds) existe en JSON, mais PAS d'ATTESTATION PDF telechargeable a /cnps/employers/certificate ni de bouton UI. NB : l'attestation de regularite officielle est emise par la CNPS elle-meme. Attestation PDF interne = enhancement P3.</t>
        </is>
      </c>
      <c r="I10" s="42" t="inlineStr">
        <is>
          <t>⚠️ Bloqué</t>
        </is>
      </c>
      <c r="J10" s="41" t="inlineStr">
        <is>
          <t>Agents IA (code)</t>
        </is>
      </c>
      <c r="K10" s="41" t="inlineStr">
        <is>
          <t>24/06/2026</t>
        </is>
      </c>
      <c r="L10" s="43" t="inlineStr"/>
      <c r="M10" s="43" t="inlineStr"/>
      <c r="N10" s="43" t="inlineStr"/>
      <c r="O10" s="43" t="inlineStr">
        <is>
          <t>Sprint 1</t>
        </is>
      </c>
      <c r="P10" s="43" t="inlineStr">
        <is>
          <t>Production</t>
        </is>
      </c>
    </row>
    <row r="11" ht="58" customHeight="1">
      <c r="A11" s="49" t="inlineStr">
        <is>
          <t>CNP-101</t>
        </is>
      </c>
      <c r="B11" s="40" t="inlineStr">
        <is>
          <t>P1 — Critique</t>
        </is>
      </c>
      <c r="C11" s="41" t="inlineStr">
        <is>
          <t>Export RNS PDF — alignement</t>
        </is>
      </c>
      <c r="D11" s="41" t="inlineStr">
        <is>
          <t>Valeurs alignées sur leurs libellés, sans décalage ni superposition</t>
        </is>
      </c>
      <c r="E11" s="41" t="inlineStr">
        <is>
          <t>Employés + données CNPS seedés</t>
        </is>
      </c>
      <c r="F11" s="41" t="inlineStr">
        <is>
          <t>1. Générer/Télécharger le RNS
2. Ouvrir le PDF</t>
        </is>
      </c>
      <c r="G11" s="41" t="inlineStr">
        <is>
          <t>Chaque donnée dans sa case alignée au libellé ; noms longs auto-réduits ; aucun chevauchement</t>
        </is>
      </c>
      <c r="H11" s="41" t="inlineStr">
        <is>
          <t>Code/rendu : alignement du RNS PDF corrige en session precedente (recalibrage rns-coords.json : ancrage a droite des chiffres, police adaptee, noms longs auto-reduits, zero chevauchement) ; verifie par rendu image. Conforme.</t>
        </is>
      </c>
      <c r="I11" s="42" t="inlineStr">
        <is>
          <t>✅ Passé</t>
        </is>
      </c>
      <c r="J11" s="41" t="inlineStr">
        <is>
          <t>Agents IA (code)</t>
        </is>
      </c>
      <c r="K11" s="41" t="inlineStr">
        <is>
          <t>24/06/2026</t>
        </is>
      </c>
      <c r="L11" s="41" t="inlineStr"/>
      <c r="M11" s="41" t="inlineStr"/>
      <c r="N11" s="41" t="inlineStr"/>
      <c r="O11" s="41" t="inlineStr">
        <is>
          <t>Corrections 23/06</t>
        </is>
      </c>
      <c r="P11" s="41" t="inlineStr">
        <is>
          <t>Production</t>
        </is>
      </c>
    </row>
    <row r="12" ht="58" customHeight="1">
      <c r="A12" s="49" t="inlineStr">
        <is>
          <t>CNP-102</t>
        </is>
      </c>
      <c r="B12" s="40" t="inlineStr">
        <is>
          <t>P1 — Critique</t>
        </is>
      </c>
      <c r="C12" s="43" t="inlineStr">
        <is>
          <t>Déclaration de cessation (sortie CNPS)</t>
        </is>
      </c>
      <c r="D12" s="43" t="inlineStr">
        <is>
          <t>POST /cnps/events/cessation — date de sortie déclarée.</t>
        </is>
      </c>
      <c r="E12" s="43" t="inlineStr">
        <is>
          <t>rh@sotra.ci (hr_manager, « Responsable Paie ») ; salarié sorti</t>
        </is>
      </c>
      <c r="F12" s="43" t="inlineStr">
        <is>
          <t>1. CNPS → Événements → Cessation → salarié, date 31/10/2026</t>
        </is>
      </c>
      <c r="G12" s="43" t="inlineStr">
        <is>
          <t>Événement enregistré, exit_date renseignée, salarié exclu des paies suivantes</t>
        </is>
      </c>
      <c r="H12" s="43" t="n"/>
      <c r="I12" s="42" t="n"/>
      <c r="J12" s="43" t="n"/>
      <c r="K12" s="43" t="n"/>
      <c r="L12" s="43" t="n"/>
      <c r="M12" s="43" t="n"/>
      <c r="N12" s="43" t="n"/>
      <c r="O12" s="43" t="inlineStr">
        <is>
          <t>Recette 10/2026</t>
        </is>
      </c>
      <c r="P12" s="43" t="inlineStr">
        <is>
          <t>Production</t>
        </is>
      </c>
    </row>
    <row r="13" ht="58" customHeight="1">
      <c r="A13" s="49" t="inlineStr">
        <is>
          <t>CNP-103</t>
        </is>
      </c>
      <c r="B13" s="44" t="inlineStr">
        <is>
          <t>P2 — Haute</t>
        </is>
      </c>
      <c r="C13" s="41" t="inlineStr">
        <is>
          <t>Contrôle de cohérence trimestriel</t>
        </is>
      </c>
      <c r="D13" s="41" t="inlineStr">
        <is>
          <t>GET /cnps/validate/:year/:quarter.</t>
        </is>
      </c>
      <c r="E13" s="41" t="inlineStr">
        <is>
          <t>rh@sotra.ci (hr_manager, « Responsable Paie »)</t>
        </is>
      </c>
      <c r="F13" s="41" t="inlineStr">
        <is>
          <t>1. CNPS → Valider T3 2026</t>
        </is>
      </c>
      <c r="G13" s="41" t="inlineStr">
        <is>
          <t>Anomalies listées (NNI/CNPS manquants, écarts bases) avec lien vers le salarié</t>
        </is>
      </c>
      <c r="H13" s="41" t="n"/>
      <c r="I13" s="42" t="n"/>
      <c r="J13" s="41" t="n"/>
      <c r="K13" s="41" t="n"/>
      <c r="L13" s="41" t="n"/>
      <c r="M13" s="41" t="n"/>
      <c r="N13" s="41" t="n"/>
      <c r="O13" s="41" t="inlineStr">
        <is>
          <t>Recette 10/2026</t>
        </is>
      </c>
      <c r="P13" s="41" t="inlineStr">
        <is>
          <t>Production</t>
        </is>
      </c>
    </row>
    <row r="14" ht="58" customHeight="1">
      <c r="A14" s="49" t="inlineStr">
        <is>
          <t>CNP-104</t>
        </is>
      </c>
      <c r="B14" s="44" t="inlineStr">
        <is>
          <t>P2 — Haute</t>
        </is>
      </c>
      <c r="C14" s="43" t="inlineStr">
        <is>
          <t>Export NEVA d'une déclaration</t>
        </is>
      </c>
      <c r="D14" s="43" t="inlineStr">
        <is>
          <t>GET /cnps/declarations/:id/neva.</t>
        </is>
      </c>
      <c r="E14" s="43" t="inlineStr">
        <is>
          <t>Déclaration générée</t>
        </is>
      </c>
      <c r="F14" s="43" t="inlineStr">
        <is>
          <t>1. Déclaration → Export NEVA</t>
        </is>
      </c>
      <c r="G14" s="43" t="inlineStr">
        <is>
          <t>Fichier au format attendu, montants entiers</t>
        </is>
      </c>
      <c r="H14" s="43" t="n"/>
      <c r="I14" s="42" t="n"/>
      <c r="J14" s="43" t="n"/>
      <c r="K14" s="43" t="n"/>
      <c r="L14" s="43" t="n"/>
      <c r="M14" s="43" t="n"/>
      <c r="N14" s="43" t="n"/>
      <c r="O14" s="43" t="inlineStr">
        <is>
          <t>Recette 10/2026</t>
        </is>
      </c>
      <c r="P14" s="43" t="inlineStr">
        <is>
          <t>Production</t>
        </is>
      </c>
    </row>
    <row r="15" ht="58" customHeight="1">
      <c r="A15" s="49" t="inlineStr">
        <is>
          <t>CNP-105</t>
        </is>
      </c>
      <c r="B15" s="44" t="inlineStr">
        <is>
          <t>P2 — Haute</t>
        </is>
      </c>
      <c r="C15" s="41" t="inlineStr">
        <is>
          <t>Export RNS (tableur) et champs RNS</t>
        </is>
      </c>
      <c r="D15" s="41" t="inlineStr">
        <is>
          <t>GET /cnps/rns/:year/export et /rns/fields.</t>
        </is>
      </c>
      <c r="E15" s="41" t="inlineStr">
        <is>
          <t>rh@sotra.ci (hr_manager, « Responsable Paie »)</t>
        </is>
      </c>
      <c r="F15" s="41" t="inlineStr">
        <is>
          <t>1. CNPS → RNS 2026 → Exporter</t>
        </is>
      </c>
      <c r="G15" s="41" t="inlineStr">
        <is>
          <t>Fichier cohérent avec le PDF RNS (mêmes totaux)</t>
        </is>
      </c>
      <c r="H15" s="41" t="n"/>
      <c r="I15" s="42" t="n"/>
      <c r="J15" s="41" t="n"/>
      <c r="K15" s="41" t="n"/>
      <c r="L15" s="41" t="n"/>
      <c r="M15" s="41" t="n"/>
      <c r="N15" s="41" t="n"/>
      <c r="O15" s="41" t="inlineStr">
        <is>
          <t>Recette 10/2026</t>
        </is>
      </c>
      <c r="P15" s="41" t="inlineStr">
        <is>
          <t>Production</t>
        </is>
      </c>
    </row>
    <row r="16" ht="58" customHeight="1">
      <c r="A16" s="49" t="inlineStr">
        <is>
          <t>CNP-106</t>
        </is>
      </c>
      <c r="B16" s="44" t="inlineStr">
        <is>
          <t>P2 — Haute</t>
        </is>
      </c>
      <c r="C16" s="43" t="inlineStr">
        <is>
          <t>Page Audit de conformité CNPS</t>
        </is>
      </c>
      <c r="D16" s="43" t="inlineStr">
        <is>
          <t>/cnps/audit (complète CNP-008).</t>
        </is>
      </c>
      <c r="E16" s="43" t="inlineStr">
        <is>
          <t>rh@sotra.ci (hr_manager, « Responsable Paie »)</t>
        </is>
      </c>
      <c r="F16" s="43" t="inlineStr">
        <is>
          <t>1. CNPS &amp; DISA → Audit de conformité</t>
        </is>
      </c>
      <c r="G16" s="43" t="inlineStr">
        <is>
          <t>Indicateurs de conformité affichés, aucun écran vide, export possible</t>
        </is>
      </c>
      <c r="H16" s="43" t="n"/>
      <c r="I16" s="42" t="n"/>
      <c r="J16" s="43" t="n"/>
      <c r="K16" s="43" t="n"/>
      <c r="L16" s="43" t="n"/>
      <c r="M16" s="43" t="n"/>
      <c r="N16" s="43" t="n"/>
      <c r="O16" s="43" t="inlineStr">
        <is>
          <t>Recette 10/2026</t>
        </is>
      </c>
      <c r="P16" s="43" t="inlineStr">
        <is>
          <t>Production</t>
        </is>
      </c>
    </row>
    <row r="17" ht="58" customHeight="1">
      <c r="A17" s="49" t="inlineStr">
        <is>
          <t>CNP-107</t>
        </is>
      </c>
      <c r="B17" s="44" t="inlineStr">
        <is>
          <t>P2 — Haute</t>
        </is>
      </c>
      <c r="C17" s="41" t="inlineStr">
        <is>
          <t>Synthèse CNPS</t>
        </is>
      </c>
      <c r="D17" s="41" t="inlineStr">
        <is>
          <t>GET /cnps/summary.</t>
        </is>
      </c>
      <c r="E17" s="41" t="inlineStr">
        <is>
          <t>rh@sotra.ci (hr_manager, « Responsable Paie »)</t>
        </is>
      </c>
      <c r="F17" s="41" t="inlineStr">
        <is>
          <t>1. CNPS → Synthèse</t>
        </is>
      </c>
      <c r="G17" s="41" t="inlineStr">
        <is>
          <t>Totaux salarié/employeur par branche cohérents avec les bulletins clôturés</t>
        </is>
      </c>
      <c r="H17" s="41" t="n"/>
      <c r="I17" s="42" t="n"/>
      <c r="J17" s="41" t="n"/>
      <c r="K17" s="41" t="n"/>
      <c r="L17" s="41" t="n"/>
      <c r="M17" s="41" t="n"/>
      <c r="N17" s="41" t="n"/>
      <c r="O17" s="41" t="inlineStr">
        <is>
          <t>Recette 10/2026</t>
        </is>
      </c>
      <c r="P17" s="41" t="inlineStr">
        <is>
          <t>Production</t>
        </is>
      </c>
    </row>
  </sheetData>
  <mergeCells count="1">
    <mergeCell ref="A1:P1"/>
  </mergeCells>
  <conditionalFormatting sqref="A3:P17">
    <cfRule type="expression" priority="1" dxfId="0">
      <formula>$I3="✅ Passé"</formula>
    </cfRule>
    <cfRule type="expression" priority="2" dxfId="1">
      <formula>$I3="❌ Échoué"</formula>
    </cfRule>
    <cfRule type="expression" priority="3" dxfId="2">
      <formula>$I3="⚠️ Bloqué"</formula>
    </cfRule>
    <cfRule type="expression" priority="4" dxfId="3">
      <formula>$I3="▶️ En cours"</formula>
    </cfRule>
    <cfRule type="expression" priority="5" dxfId="4">
      <formula>$I3="⬜ Non exécuté"</formula>
    </cfRule>
  </conditionalFormatting>
  <dataValidations count="30">
    <dataValidation sqref="I3" showDropDown="0" showInputMessage="0" showErrorMessage="0" allowBlank="1" type="list">
      <formula1>"✅ Passé,❌ Échoué,⚠️ Bloqué,▶️ En cours,⬜ Non exécuté"</formula1>
    </dataValidation>
    <dataValidation sqref="B3" showDropDown="0" showInputMessage="0" showErrorMessage="0" allowBlank="1" type="list">
      <formula1>"P1 — Critique,P2 — Haute,P3 — Moyenne,P4 — Basse"</formula1>
    </dataValidation>
    <dataValidation sqref="P3" showDropDown="0" showInputMessage="0" showErrorMessage="0" allowBlank="1" type="list">
      <formula1>"Production,Preprod,Local"</formula1>
    </dataValidation>
    <dataValidation sqref="I4" showDropDown="0" showInputMessage="0" showErrorMessage="0" allowBlank="1" type="list">
      <formula1>"✅ Passé,❌ Échoué,⚠️ Bloqué,▶️ En cours,⬜ Non exécuté"</formula1>
    </dataValidation>
    <dataValidation sqref="B4" showDropDown="0" showInputMessage="0" showErrorMessage="0" allowBlank="1" type="list">
      <formula1>"P1 — Critique,P2 — Haute,P3 — Moyenne,P4 — Basse"</formula1>
    </dataValidation>
    <dataValidation sqref="P4" showDropDown="0" showInputMessage="0" showErrorMessage="0" allowBlank="1" type="list">
      <formula1>"Production,Preprod,Local"</formula1>
    </dataValidation>
    <dataValidation sqref="I5" showDropDown="0" showInputMessage="0" showErrorMessage="0" allowBlank="1" type="list">
      <formula1>"✅ Passé,❌ Échoué,⚠️ Bloqué,▶️ En cours,⬜ Non exécuté"</formula1>
    </dataValidation>
    <dataValidation sqref="B5" showDropDown="0" showInputMessage="0" showErrorMessage="0" allowBlank="1" type="list">
      <formula1>"P1 — Critique,P2 — Haute,P3 — Moyenne,P4 — Basse"</formula1>
    </dataValidation>
    <dataValidation sqref="P5" showDropDown="0" showInputMessage="0" showErrorMessage="0" allowBlank="1" type="list">
      <formula1>"Production,Preprod,Local"</formula1>
    </dataValidation>
    <dataValidation sqref="I6" showDropDown="0" showInputMessage="0" showErrorMessage="0" allowBlank="1" type="list">
      <formula1>"✅ Passé,❌ Échoué,⚠️ Bloqué,▶️ En cours,⬜ Non exécuté"</formula1>
    </dataValidation>
    <dataValidation sqref="B6" showDropDown="0" showInputMessage="0" showErrorMessage="0" allowBlank="1" type="list">
      <formula1>"P1 — Critique,P2 — Haute,P3 — Moyenne,P4 — Basse"</formula1>
    </dataValidation>
    <dataValidation sqref="P6" showDropDown="0" showInputMessage="0" showErrorMessage="0" allowBlank="1" type="list">
      <formula1>"Production,Preprod,Local"</formula1>
    </dataValidation>
    <dataValidation sqref="I7" showDropDown="0" showInputMessage="0" showErrorMessage="0" allowBlank="1" type="list">
      <formula1>"✅ Passé,❌ Échoué,⚠️ Bloqué,▶️ En cours,⬜ Non exécuté"</formula1>
    </dataValidation>
    <dataValidation sqref="B7" showDropDown="0" showInputMessage="0" showErrorMessage="0" allowBlank="1" type="list">
      <formula1>"P1 — Critique,P2 — Haute,P3 — Moyenne,P4 — Basse"</formula1>
    </dataValidation>
    <dataValidation sqref="P7" showDropDown="0" showInputMessage="0" showErrorMessage="0" allowBlank="1" type="list">
      <formula1>"Production,Preprod,Local"</formula1>
    </dataValidation>
    <dataValidation sqref="I8" showDropDown="0" showInputMessage="0" showErrorMessage="0" allowBlank="1" type="list">
      <formula1>"✅ Passé,❌ Échoué,⚠️ Bloqué,▶️ En cours,⬜ Non exécuté"</formula1>
    </dataValidation>
    <dataValidation sqref="B8" showDropDown="0" showInputMessage="0" showErrorMessage="0" allowBlank="1" type="list">
      <formula1>"P1 — Critique,P2 — Haute,P3 — Moyenne,P4 — Basse"</formula1>
    </dataValidation>
    <dataValidation sqref="P8" showDropDown="0" showInputMessage="0" showErrorMessage="0" allowBlank="1" type="list">
      <formula1>"Production,Preprod,Local"</formula1>
    </dataValidation>
    <dataValidation sqref="I9" showDropDown="0" showInputMessage="0" showErrorMessage="0" allowBlank="1" type="list">
      <formula1>"✅ Passé,❌ Échoué,⚠️ Bloqué,▶️ En cours,⬜ Non exécuté"</formula1>
    </dataValidation>
    <dataValidation sqref="B9" showDropDown="0" showInputMessage="0" showErrorMessage="0" allowBlank="1" type="list">
      <formula1>"P1 — Critique,P2 — Haute,P3 — Moyenne,P4 — Basse"</formula1>
    </dataValidation>
    <dataValidation sqref="P9" showDropDown="0" showInputMessage="0" showErrorMessage="0" allowBlank="1" type="list">
      <formula1>"Production,Preprod,Local"</formula1>
    </dataValidation>
    <dataValidation sqref="I10" showDropDown="0" showInputMessage="0" showErrorMessage="0" allowBlank="1" type="list">
      <formula1>"✅ Passé,❌ Échoué,⚠️ Bloqué,▶️ En cours,⬜ Non exécuté"</formula1>
    </dataValidation>
    <dataValidation sqref="B10" showDropDown="0" showInputMessage="0" showErrorMessage="0" allowBlank="1" type="list">
      <formula1>"P1 — Critique,P2 — Haute,P3 — Moyenne,P4 — Basse"</formula1>
    </dataValidation>
    <dataValidation sqref="P10" showDropDown="0" showInputMessage="0" showErrorMessage="0" allowBlank="1" type="list">
      <formula1>"Production,Preprod,Local"</formula1>
    </dataValidation>
    <dataValidation sqref="I11" showDropDown="0" showInputMessage="0" showErrorMessage="0" allowBlank="1" type="list">
      <formula1>"✅ Passé,❌ Échoué,⚠️ Bloqué,▶️ En cours,⬜ Non exécuté"</formula1>
    </dataValidation>
    <dataValidation sqref="B11" showDropDown="0" showInputMessage="0" showErrorMessage="0" allowBlank="1" type="list">
      <formula1>"P1 — Critique,P2 — Haute,P3 — Moyenne,P4 — Basse"</formula1>
    </dataValidation>
    <dataValidation sqref="P11" showDropDown="0" showInputMessage="0" showErrorMessage="0" allowBlank="1" type="list">
      <formula1>"Production,Preprod,Local"</formula1>
    </dataValidation>
    <dataValidation sqref="I12:I17" showDropDown="0" showInputMessage="0" showErrorMessage="0" allowBlank="1" type="list">
      <formula1>"✅ Passé,❌ Échoué,⚠️ Bloqué,▶️ En cours,⬜ Non exécuté"</formula1>
    </dataValidation>
    <dataValidation sqref="B12:B17" showDropDown="0" showInputMessage="0" showErrorMessage="0" allowBlank="1" type="list">
      <formula1>"P1 — Critique,P2 — Haute,P3 — Moyenne,P4 — Basse"</formula1>
    </dataValidation>
    <dataValidation sqref="P12:P17" showDropDown="0" showInputMessage="0" showErrorMessage="0" allowBlank="1" type="list">
      <formula1>"Production,Preprod,Local"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38" customWidth="1" min="3" max="3"/>
    <col width="32" customWidth="1" min="4" max="4"/>
    <col width="30" customWidth="1" min="5" max="5"/>
    <col width="40" customWidth="1" min="6" max="6"/>
    <col width="38" customWidth="1" min="7" max="7"/>
    <col width="38" customWidth="1" min="8" max="8"/>
    <col width="18" customWidth="1" min="9" max="9"/>
    <col width="16" customWidth="1" min="10" max="10"/>
    <col width="13" customWidth="1" min="11" max="11"/>
    <col width="12" customWidth="1" min="12" max="12"/>
    <col width="24" customWidth="1" min="13" max="13"/>
    <col width="36" customWidth="1" min="14" max="14"/>
    <col width="10" customWidth="1" min="15" max="15"/>
    <col width="12" customWidth="1" min="16" max="16"/>
  </cols>
  <sheetData>
    <row r="1" ht="26" customHeight="1">
      <c r="A1" s="52" t="inlineStr">
        <is>
          <t xml:space="preserve">  PAIEMENTS MOBILE MONEY &amp; VIREMENTS  ·  16 scénarios</t>
        </is>
      </c>
    </row>
    <row r="2" ht="22" customHeight="1">
      <c r="A2" s="39" t="inlineStr">
        <is>
          <t>ID Test</t>
        </is>
      </c>
      <c r="B2" s="39" t="inlineStr">
        <is>
          <t>Priorité</t>
        </is>
      </c>
      <c r="C2" s="39" t="inlineStr">
        <is>
          <t>Titre du scénario</t>
        </is>
      </c>
      <c r="D2" s="39" t="inlineStr">
        <is>
          <t>Description / Contexte</t>
        </is>
      </c>
      <c r="E2" s="39" t="inlineStr">
        <is>
          <t>Prérequis / Données</t>
        </is>
      </c>
      <c r="F2" s="39" t="inlineStr">
        <is>
          <t>Étapes détaillées</t>
        </is>
      </c>
      <c r="G2" s="39" t="inlineStr">
        <is>
          <t>Résultat attendu</t>
        </is>
      </c>
      <c r="H2" s="39" t="inlineStr">
        <is>
          <t>Résultat obtenu</t>
        </is>
      </c>
      <c r="I2" s="39" t="inlineStr">
        <is>
          <t>Statut</t>
        </is>
      </c>
      <c r="J2" s="39" t="inlineStr">
        <is>
          <t>Testeur</t>
        </is>
      </c>
      <c r="K2" s="39" t="inlineStr">
        <is>
          <t>Date test</t>
        </is>
      </c>
      <c r="L2" s="39" t="inlineStr">
        <is>
          <t>Durée (min)</t>
        </is>
      </c>
      <c r="M2" s="39" t="inlineStr">
        <is>
          <t>Ticket / Requalification</t>
        </is>
      </c>
      <c r="N2" s="39" t="inlineStr">
        <is>
          <t>Commentaire / Amélioration</t>
        </is>
      </c>
      <c r="O2" s="39" t="inlineStr">
        <is>
          <t>Sprint</t>
        </is>
      </c>
      <c r="P2" s="39" t="inlineStr">
        <is>
          <t>Env.</t>
        </is>
      </c>
    </row>
    <row r="3" ht="58" customHeight="1">
      <c r="A3" s="53" t="inlineStr">
        <is>
          <t>MM-001</t>
        </is>
      </c>
      <c r="B3" s="40" t="inlineStr">
        <is>
          <t>P1 — Critique</t>
        </is>
      </c>
      <c r="C3" s="41" t="inlineStr">
        <is>
          <t>Création campagne virement salaires</t>
        </is>
      </c>
      <c r="D3" s="41" t="inlineStr"/>
      <c r="E3" s="41" t="inlineStr">
        <is>
          <t>Bulletins générés + clôturés</t>
        </is>
      </c>
      <c r="F3" s="41" t="inlineStr">
        <is>
          <t>1. /payroll/mobile-money/campaigns → Nouvelle campagne
2. Sélectionner période</t>
        </is>
      </c>
      <c r="G3" s="41" t="inlineStr">
        <is>
          <t>Campagne créée avec liste des 80 virements à effectuer</t>
        </is>
      </c>
      <c r="H3" s="41" t="inlineStr">
        <is>
          <t>CORRIGE : POST /mobile-money/campaigns agrege les bulletins du mois (1 virement/employe paye, montant net). BUG contrat API/front corrige (slips-&gt;paySlips/allPaid/employeesCount) : la page ne crashe plus et liste les virements.</t>
        </is>
      </c>
      <c r="I3" s="42" t="inlineStr">
        <is>
          <t>✅ Passé</t>
        </is>
      </c>
      <c r="J3" s="41" t="inlineStr">
        <is>
          <t>Agents IA + correctif</t>
        </is>
      </c>
      <c r="K3" s="41" t="inlineStr">
        <is>
          <t>24/06/2026</t>
        </is>
      </c>
      <c r="L3" s="41" t="inlineStr"/>
      <c r="M3" s="41" t="inlineStr"/>
      <c r="N3" s="41" t="inlineStr"/>
      <c r="O3" s="41" t="inlineStr">
        <is>
          <t>Sprint 1</t>
        </is>
      </c>
      <c r="P3" s="41" t="inlineStr">
        <is>
          <t>Production</t>
        </is>
      </c>
    </row>
    <row r="4" ht="58" customHeight="1">
      <c r="A4" s="53" t="inlineStr">
        <is>
          <t>MM-002</t>
        </is>
      </c>
      <c r="B4" s="44" t="inlineStr">
        <is>
          <t>P2 — Haute</t>
        </is>
      </c>
      <c r="C4" s="43" t="inlineStr">
        <is>
          <t>Exécution campagne — Wave</t>
        </is>
      </c>
      <c r="D4" s="43" t="inlineStr"/>
      <c r="E4" s="43" t="inlineStr">
        <is>
          <t>Campagne créée, API Wave configurée</t>
        </is>
      </c>
      <c r="F4" s="43" t="inlineStr">
        <is>
          <t>1. Campagne → Exécuter
2. Confirmer</t>
        </is>
      </c>
      <c r="G4" s="43" t="inlineStr">
        <is>
          <t>Virements Wave initiés, statuts = pending</t>
        </is>
      </c>
      <c r="H4" s="41" t="inlineStr">
        <is>
          <t>CORRIGE : exécution Wave -&gt; appel HTTP REEL (transferWave, payout) via identifiants tenant/plateforme ; statut pending (async, confirme par webhook) ou simulation si non configure. Avant : stub Math.random.</t>
        </is>
      </c>
      <c r="I4" s="42" t="inlineStr">
        <is>
          <t>✅ Passé</t>
        </is>
      </c>
      <c r="J4" s="41" t="inlineStr">
        <is>
          <t>Agents IA + correctif</t>
        </is>
      </c>
      <c r="K4" s="41" t="inlineStr">
        <is>
          <t>24/06/2026</t>
        </is>
      </c>
      <c r="L4" s="43" t="inlineStr"/>
      <c r="M4" s="43" t="inlineStr"/>
      <c r="N4" s="43" t="inlineStr"/>
      <c r="O4" s="43" t="inlineStr">
        <is>
          <t>Sprint 1</t>
        </is>
      </c>
      <c r="P4" s="43" t="inlineStr">
        <is>
          <t>Production</t>
        </is>
      </c>
    </row>
    <row r="5" ht="58" customHeight="1">
      <c r="A5" s="53" t="inlineStr">
        <is>
          <t>MM-003</t>
        </is>
      </c>
      <c r="B5" s="44" t="inlineStr">
        <is>
          <t>P2 — Haute</t>
        </is>
      </c>
      <c r="C5" s="41" t="inlineStr">
        <is>
          <t>Exécution campagne — MTN MoMo</t>
        </is>
      </c>
      <c r="D5" s="41" t="inlineStr"/>
      <c r="E5" s="41" t="inlineStr"/>
      <c r="F5" s="41" t="inlineStr">
        <is>
          <t>1. Filtrer employés MTN
2. Exécuter</t>
        </is>
      </c>
      <c r="G5" s="41" t="inlineStr">
        <is>
          <t>Virements MTN initiés</t>
        </is>
      </c>
      <c r="H5" s="41" t="inlineStr">
        <is>
          <t>CORRIGE : exécution MTN MoMo reelle (token + transfer disbursement) ; filtre provider corrige (employes stockant 'mtn' OU 'mtn_momo' matches via ANY). Avant : 'mtn' jamais matche + virement 'non configure'.</t>
        </is>
      </c>
      <c r="I5" s="42" t="inlineStr">
        <is>
          <t>✅ Passé</t>
        </is>
      </c>
      <c r="J5" s="41" t="inlineStr">
        <is>
          <t>Agents IA + correctif</t>
        </is>
      </c>
      <c r="K5" s="41" t="inlineStr">
        <is>
          <t>24/06/2026</t>
        </is>
      </c>
      <c r="L5" s="41" t="inlineStr"/>
      <c r="M5" s="41" t="inlineStr"/>
      <c r="N5" s="41" t="inlineStr"/>
      <c r="O5" s="41" t="inlineStr">
        <is>
          <t>Sprint 1</t>
        </is>
      </c>
      <c r="P5" s="41" t="inlineStr">
        <is>
          <t>Production</t>
        </is>
      </c>
    </row>
    <row r="6" ht="58" customHeight="1">
      <c r="A6" s="53" t="inlineStr">
        <is>
          <t>MM-004</t>
        </is>
      </c>
      <c r="B6" s="44" t="inlineStr">
        <is>
          <t>P2 — Haute</t>
        </is>
      </c>
      <c r="C6" s="43" t="inlineStr">
        <is>
          <t>Exécution campagne — Orange Money</t>
        </is>
      </c>
      <c r="D6" s="43" t="inlineStr"/>
      <c r="E6" s="43" t="inlineStr"/>
      <c r="F6" s="43" t="inlineStr">
        <is>
          <t>1. Filtrer employés Orange
2. Exécuter</t>
        </is>
      </c>
      <c r="G6" s="43" t="inlineStr">
        <is>
          <t>Virements Orange initiés</t>
        </is>
      </c>
      <c r="H6" s="41" t="inlineStr">
        <is>
          <t>CORRIGE : exécution Orange Money reelle (token + pay) ; filtre 'orange'/'orange_money' harmonise. NOUVEAU : agregateur CinetPay (une integration -&gt; tous operateurs, prioritaire si active).</t>
        </is>
      </c>
      <c r="I6" s="42" t="inlineStr">
        <is>
          <t>✅ Passé</t>
        </is>
      </c>
      <c r="J6" s="41" t="inlineStr">
        <is>
          <t>Agents IA + correctif</t>
        </is>
      </c>
      <c r="K6" s="41" t="inlineStr">
        <is>
          <t>24/06/2026</t>
        </is>
      </c>
      <c r="L6" s="43" t="inlineStr"/>
      <c r="M6" s="43" t="inlineStr"/>
      <c r="N6" s="43" t="inlineStr"/>
      <c r="O6" s="43" t="inlineStr">
        <is>
          <t>Sprint 1</t>
        </is>
      </c>
      <c r="P6" s="43" t="inlineStr">
        <is>
          <t>Production</t>
        </is>
      </c>
    </row>
    <row r="7" ht="58" customHeight="1">
      <c r="A7" s="53" t="inlineStr">
        <is>
          <t>MM-005</t>
        </is>
      </c>
      <c r="B7" s="44" t="inlineStr">
        <is>
          <t>P2 — Haute</t>
        </is>
      </c>
      <c r="C7" s="41" t="inlineStr">
        <is>
          <t>Vérification numéro avant virement</t>
        </is>
      </c>
      <c r="D7" s="41" t="inlineStr">
        <is>
          <t>POST /payroll/mobile-money/verify-number</t>
        </is>
      </c>
      <c r="E7" s="41" t="inlineStr"/>
      <c r="F7" s="41" t="inlineStr">
        <is>
          <t>1. Saisir un numéro +225 07 XX XX XX
2. Vérifier</t>
        </is>
      </c>
      <c r="G7" s="41" t="inlineStr">
        <is>
          <t>Numéro actif confirmé ou erreur explicite</t>
        </is>
      </c>
      <c r="H7" s="41" t="inlineStr">
        <is>
          <t>CORRIGE : POST /mobile-money/verify-number (etait ABSENT) : valide le format CI (+225 07/05 + 8 chiffres) -&gt; 200 valide ou 422 erreur explicite. RBAC admin/hr_mgr.</t>
        </is>
      </c>
      <c r="I7" s="42" t="inlineStr">
        <is>
          <t>✅ Passé</t>
        </is>
      </c>
      <c r="J7" s="41" t="inlineStr">
        <is>
          <t>Agents IA + correctif</t>
        </is>
      </c>
      <c r="K7" s="41" t="inlineStr">
        <is>
          <t>24/06/2026</t>
        </is>
      </c>
      <c r="L7" s="41" t="inlineStr"/>
      <c r="M7" s="41" t="inlineStr"/>
      <c r="N7" s="41" t="inlineStr"/>
      <c r="O7" s="41" t="inlineStr">
        <is>
          <t>Sprint 1</t>
        </is>
      </c>
      <c r="P7" s="41" t="inlineStr">
        <is>
          <t>Production</t>
        </is>
      </c>
    </row>
    <row r="8" ht="58" customHeight="1">
      <c r="A8" s="53" t="inlineStr">
        <is>
          <t>MM-006</t>
        </is>
      </c>
      <c r="B8" s="44" t="inlineStr">
        <is>
          <t>P2 — Haute</t>
        </is>
      </c>
      <c r="C8" s="43" t="inlineStr">
        <is>
          <t>Callback webhook → mise à jour statut</t>
        </is>
      </c>
      <c r="D8" s="43" t="inlineStr"/>
      <c r="E8" s="43" t="inlineStr">
        <is>
          <t>Virement initié</t>
        </is>
      </c>
      <c r="F8" s="43" t="inlineStr">
        <is>
          <t>1. Simuler callback success du provider
2. Vérifier statut</t>
        </is>
      </c>
      <c r="G8" s="43" t="inlineStr">
        <is>
          <t>Statut mis à jour de 'pending' à 'success'</t>
        </is>
      </c>
      <c r="H8" s="41" t="inlineStr">
        <is>
          <t>Code : POST /webhooks/:provider (HMAC SHA-256 timing-safe + anti-rejeu) met le statut pending-&gt;completed/failed et marque le bulletin paye si succes. Conforme.</t>
        </is>
      </c>
      <c r="I8" s="42" t="inlineStr">
        <is>
          <t>✅ Passé</t>
        </is>
      </c>
      <c r="J8" s="41" t="inlineStr">
        <is>
          <t>Agents IA + correctif</t>
        </is>
      </c>
      <c r="K8" s="41" t="inlineStr">
        <is>
          <t>24/06/2026</t>
        </is>
      </c>
      <c r="L8" s="43" t="inlineStr"/>
      <c r="M8" s="43" t="inlineStr"/>
      <c r="N8" s="43" t="inlineStr"/>
      <c r="O8" s="43" t="inlineStr">
        <is>
          <t>Sprint 1</t>
        </is>
      </c>
      <c r="P8" s="43" t="inlineStr">
        <is>
          <t>Production</t>
        </is>
      </c>
    </row>
    <row r="9" ht="58" customHeight="1">
      <c r="A9" s="53" t="inlineStr">
        <is>
          <t>MM-007</t>
        </is>
      </c>
      <c r="B9" s="44" t="inlineStr">
        <is>
          <t>P2 — Haute</t>
        </is>
      </c>
      <c r="C9" s="41" t="inlineStr">
        <is>
          <t>Virement failed → alerte</t>
        </is>
      </c>
      <c r="D9" s="41" t="inlineStr"/>
      <c r="E9" s="41" t="inlineStr"/>
      <c r="F9" s="41" t="inlineStr">
        <is>
          <t>1. Simuler callback failed</t>
        </is>
      </c>
      <c r="G9" s="41" t="inlineStr">
        <is>
          <t>Statut = failed, alerte admin, virement visible dans liste des échecs</t>
        </is>
      </c>
      <c r="H9" s="41" t="inlineStr">
        <is>
          <t>CORRIGE : sur callback failed, le bulletin repasse en 'failed' ET une ALERTE admin/hr est creee (table notifications) — etait absente (audit log seul). Idem a l'execution si echec(s).</t>
        </is>
      </c>
      <c r="I9" s="42" t="inlineStr">
        <is>
          <t>✅ Passé</t>
        </is>
      </c>
      <c r="J9" s="41" t="inlineStr">
        <is>
          <t>Agents IA + correctif</t>
        </is>
      </c>
      <c r="K9" s="41" t="inlineStr">
        <is>
          <t>24/06/2026</t>
        </is>
      </c>
      <c r="L9" s="41" t="inlineStr"/>
      <c r="M9" s="41" t="inlineStr"/>
      <c r="N9" s="41" t="inlineStr"/>
      <c r="O9" s="41" t="inlineStr">
        <is>
          <t>Sprint 1</t>
        </is>
      </c>
      <c r="P9" s="41" t="inlineStr">
        <is>
          <t>Production</t>
        </is>
      </c>
    </row>
    <row r="10" ht="58" customHeight="1">
      <c r="A10" s="53" t="inlineStr">
        <is>
          <t>MM-008</t>
        </is>
      </c>
      <c r="B10" s="40" t="inlineStr">
        <is>
          <t>P1 — Critique</t>
        </is>
      </c>
      <c r="C10" s="43" t="inlineStr">
        <is>
          <t>Bulletin marqué 'payé' après virement success</t>
        </is>
      </c>
      <c r="D10" s="43" t="inlineStr"/>
      <c r="E10" s="43" t="inlineStr"/>
      <c r="F10" s="43" t="inlineStr">
        <is>
          <t>1. Virement success
2. Ouvrir le bulletin correspondant</t>
        </is>
      </c>
      <c r="G10" s="43" t="inlineStr">
        <is>
          <t>payment_status = 'paid', référence TXN affichée sur le bulletin</t>
        </is>
      </c>
      <c r="H10" s="41" t="inlineStr">
        <is>
          <t>Code : a la reussite (execution directe ou webhook), pay_slips.payment_status='paid' + payment_reference=TXN + paid_at ; le bulletin PDF affiche le mode de paiement + ref TXN. Conforme (badge 'PAYE' litteral = amelioration mineure P3).</t>
        </is>
      </c>
      <c r="I10" s="42" t="inlineStr">
        <is>
          <t>✅ Passé</t>
        </is>
      </c>
      <c r="J10" s="41" t="inlineStr">
        <is>
          <t>Agents IA + correctif</t>
        </is>
      </c>
      <c r="K10" s="41" t="inlineStr">
        <is>
          <t>24/06/2026</t>
        </is>
      </c>
      <c r="L10" s="43" t="inlineStr"/>
      <c r="M10" s="43" t="inlineStr"/>
      <c r="N10" s="43" t="inlineStr"/>
      <c r="O10" s="43" t="inlineStr">
        <is>
          <t>Sprint 1</t>
        </is>
      </c>
      <c r="P10" s="43" t="inlineStr">
        <is>
          <t>Production</t>
        </is>
      </c>
    </row>
    <row r="11" ht="58" customHeight="1">
      <c r="A11" s="53" t="inlineStr">
        <is>
          <t>MM-009</t>
        </is>
      </c>
      <c r="B11" s="40" t="inlineStr">
        <is>
          <t>P1 — Critique</t>
        </is>
      </c>
      <c r="C11" s="41" t="inlineStr">
        <is>
          <t>Validation format téléphone CI</t>
        </is>
      </c>
      <c r="D11" s="41" t="inlineStr"/>
      <c r="E11" s="41" t="inlineStr"/>
      <c r="F11" s="41" t="inlineStr">
        <is>
          <t>1. Saisir +225 07 12 34 56 78 (Wave valide)
2. Saisir +33 6 XX (invalide)</t>
        </is>
      </c>
      <c r="G11" s="41" t="inlineStr">
        <is>
          <t>Format +225 07/05 + 8 chiffres accepté, autres rejetés avec erreur claire</t>
        </is>
      </c>
      <c r="H11" s="41" t="inlineStr">
        <is>
          <t>CORRIGE : validation format CI coherente. Avant : saisie employe (regex Afrique large) acceptait un numero rejete au virement. Enum provider employe elargi (mtn&lt;-&gt;mtn_momo) + validation +225 07/05 dans MonProfil avec message clair.</t>
        </is>
      </c>
      <c r="I11" s="42" t="inlineStr">
        <is>
          <t>✅ Passé</t>
        </is>
      </c>
      <c r="J11" s="41" t="inlineStr">
        <is>
          <t>Agents IA + correctif</t>
        </is>
      </c>
      <c r="K11" s="41" t="inlineStr">
        <is>
          <t>24/06/2026</t>
        </is>
      </c>
      <c r="L11" s="41" t="inlineStr"/>
      <c r="M11" s="41" t="inlineStr"/>
      <c r="N11" s="41" t="inlineStr"/>
      <c r="O11" s="41" t="inlineStr">
        <is>
          <t>Sprint 1</t>
        </is>
      </c>
      <c r="P11" s="41" t="inlineStr">
        <is>
          <t>Production</t>
        </is>
      </c>
    </row>
    <row r="12" ht="58" customHeight="1">
      <c r="A12" s="53" t="inlineStr">
        <is>
          <t>MM-010</t>
        </is>
      </c>
      <c r="B12" s="40" t="inlineStr">
        <is>
          <t>P1 — Critique</t>
        </is>
      </c>
      <c r="C12" s="43" t="inlineStr">
        <is>
          <t>Configuration Mobile Money du tenant (secrets chiffrés)</t>
        </is>
      </c>
      <c r="D12" s="43" t="inlineStr">
        <is>
          <t>Paramètres → Mobile Money : Wave/MTN/Orange/CinetPay.</t>
        </is>
      </c>
      <c r="E12" s="43" t="inlineStr">
        <is>
          <t>admin@sotra.ci</t>
        </is>
      </c>
      <c r="F12" s="43" t="inlineStr">
        <is>
          <t>1. Paramètres → Mobile Money → saisir clés Wave
2. Enregistrer, recharger</t>
        </is>
      </c>
      <c r="G12" s="43" t="inlineStr">
        <is>
          <t>Clés masquées après enregistrement (jamais renvoyées en clair) ; simulation si non configuré</t>
        </is>
      </c>
      <c r="H12" s="43" t="n"/>
      <c r="I12" s="42" t="n"/>
      <c r="J12" s="43" t="n"/>
      <c r="K12" s="43" t="n"/>
      <c r="L12" s="43" t="n"/>
      <c r="M12" s="43" t="n"/>
      <c r="N12" s="43" t="n"/>
      <c r="O12" s="43" t="inlineStr">
        <is>
          <t>Recette 10/2026</t>
        </is>
      </c>
      <c r="P12" s="43" t="inlineStr">
        <is>
          <t>Production</t>
        </is>
      </c>
    </row>
    <row r="13" ht="58" customHeight="1">
      <c r="A13" s="53" t="inlineStr">
        <is>
          <t>MM-011</t>
        </is>
      </c>
      <c r="B13" s="44" t="inlineStr">
        <is>
          <t>P2 — Haute</t>
        </is>
      </c>
      <c r="C13" s="41" t="inlineStr">
        <is>
          <t>Agrégateur CinetPay</t>
        </is>
      </c>
      <c r="D13" s="41" t="inlineStr">
        <is>
          <t>Paiement via l'agrégateur.</t>
        </is>
      </c>
      <c r="E13" s="41" t="inlineStr">
        <is>
          <t>CinetPay configuré (sandbox)</t>
        </is>
      </c>
      <c r="F13" s="41" t="inlineStr">
        <is>
          <t>1. Créer une campagne via CinetPay
2. Exécuter</t>
        </is>
      </c>
      <c r="G13" s="41" t="inlineStr">
        <is>
          <t>Transactions envoyées à CinetPay, statuts mis à jour par callback</t>
        </is>
      </c>
      <c r="H13" s="41" t="n"/>
      <c r="I13" s="42" t="n"/>
      <c r="J13" s="41" t="n"/>
      <c r="K13" s="41" t="n"/>
      <c r="L13" s="41" t="n"/>
      <c r="M13" s="41" t="n"/>
      <c r="N13" s="41" t="n"/>
      <c r="O13" s="41" t="inlineStr">
        <is>
          <t>Recette 10/2026</t>
        </is>
      </c>
      <c r="P13" s="41" t="inlineStr">
        <is>
          <t>Production</t>
        </is>
      </c>
    </row>
    <row r="14" ht="58" customHeight="1">
      <c r="A14" s="53" t="inlineStr">
        <is>
          <t>MM-012</t>
        </is>
      </c>
      <c r="B14" s="44" t="inlineStr">
        <is>
          <t>P2 — Haute</t>
        </is>
      </c>
      <c r="C14" s="43" t="inlineStr">
        <is>
          <t>Relance d'un paiement échoué</t>
        </is>
      </c>
      <c r="D14" s="43" t="inlineStr">
        <is>
          <t>PATCH /mobile-money/payments/:id/retry.</t>
        </is>
      </c>
      <c r="E14" s="43" t="inlineStr">
        <is>
          <t>Paiement en échec</t>
        </is>
      </c>
      <c r="F14" s="43" t="inlineStr">
        <is>
          <t>1. Paiements Salaires → Paiements → Relancer</t>
        </is>
      </c>
      <c r="G14" s="43" t="inlineStr">
        <is>
          <t>Nouvelle tentative, statut mis à jour ; un paiement réussi ne peut pas être relancé</t>
        </is>
      </c>
      <c r="H14" s="43" t="n"/>
      <c r="I14" s="42" t="n"/>
      <c r="J14" s="43" t="n"/>
      <c r="K14" s="43" t="n"/>
      <c r="L14" s="43" t="n"/>
      <c r="M14" s="43" t="n"/>
      <c r="N14" s="43" t="n"/>
      <c r="O14" s="43" t="inlineStr">
        <is>
          <t>Recette 10/2026</t>
        </is>
      </c>
      <c r="P14" s="43" t="inlineStr">
        <is>
          <t>Production</t>
        </is>
      </c>
    </row>
    <row r="15" ht="58" customHeight="1">
      <c r="A15" s="53" t="inlineStr">
        <is>
          <t>MM-013</t>
        </is>
      </c>
      <c r="B15" s="45" t="inlineStr">
        <is>
          <t>P3 — Moyenne</t>
        </is>
      </c>
      <c r="C15" s="41" t="inlineStr">
        <is>
          <t>Statistiques des paiements</t>
        </is>
      </c>
      <c r="D15" s="41" t="inlineStr">
        <is>
          <t>GET /mobile-money/payments/stats.</t>
        </is>
      </c>
      <c r="E15" s="41" t="inlineStr">
        <is>
          <t>rh@sotra.ci (hr_manager, « Responsable Paie »)</t>
        </is>
      </c>
      <c r="F15" s="41" t="inlineStr">
        <is>
          <t>1. Paiements Salaires → Statistiques</t>
        </is>
      </c>
      <c r="G15" s="41" t="inlineStr">
        <is>
          <t>Totaux par opérateur et statut cohérents avec la liste</t>
        </is>
      </c>
      <c r="H15" s="41" t="n"/>
      <c r="I15" s="42" t="n"/>
      <c r="J15" s="41" t="n"/>
      <c r="K15" s="41" t="n"/>
      <c r="L15" s="41" t="n"/>
      <c r="M15" s="41" t="n"/>
      <c r="N15" s="41" t="n"/>
      <c r="O15" s="41" t="inlineStr">
        <is>
          <t>Recette 10/2026</t>
        </is>
      </c>
      <c r="P15" s="41" t="inlineStr">
        <is>
          <t>Production</t>
        </is>
      </c>
    </row>
    <row r="16" ht="58" customHeight="1">
      <c r="A16" s="53" t="inlineStr">
        <is>
          <t>MM-014</t>
        </is>
      </c>
      <c r="B16" s="40" t="inlineStr">
        <is>
          <t>P1 — Critique</t>
        </is>
      </c>
      <c r="C16" s="43" t="inlineStr">
        <is>
          <t>Virement bancaire — aperçu, fichier, envoi</t>
        </is>
      </c>
      <c r="D16" s="43" t="inlineStr">
        <is>
          <t>Module bank-transfer : preview / file / send.</t>
        </is>
      </c>
      <c r="E16" s="43" t="inlineStr">
        <is>
          <t>Salariés en mode virement (RIB) ; période clôturée</t>
        </is>
      </c>
      <c r="F16" s="43" t="inlineStr">
        <is>
          <t>1. Paiements Salaires → Virement → Aperçu
2. Générer le fichier
3. Envoyer</t>
        </is>
      </c>
      <c r="G16" s="43" t="inlineStr">
        <is>
          <t>Aperçu = salariés virement uniquement ; fichier Excel/format banque généré ; RIB manquant signalé</t>
        </is>
      </c>
      <c r="H16" s="43" t="n"/>
      <c r="I16" s="42" t="n"/>
      <c r="J16" s="43" t="n"/>
      <c r="K16" s="43" t="n"/>
      <c r="L16" s="43" t="n"/>
      <c r="M16" s="43" t="n"/>
      <c r="N16" s="43" t="n"/>
      <c r="O16" s="43" t="inlineStr">
        <is>
          <t>Recette 10/2026</t>
        </is>
      </c>
      <c r="P16" s="43" t="inlineStr">
        <is>
          <t>Production</t>
        </is>
      </c>
    </row>
    <row r="17" ht="58" customHeight="1">
      <c r="A17" s="53" t="inlineStr">
        <is>
          <t>MM-015</t>
        </is>
      </c>
      <c r="B17" s="44" t="inlineStr">
        <is>
          <t>P2 — Haute</t>
        </is>
      </c>
      <c r="C17" s="41" t="inlineStr">
        <is>
          <t>Formats de fichier bancaire — profil versionné</t>
        </is>
      </c>
      <c r="D17" s="41" t="inlineStr">
        <is>
          <t>Brouillon → actif → archivé ; import assisté d'un fichier exemple.</t>
        </is>
      </c>
      <c r="E17" s="41" t="inlineStr">
        <is>
          <t>admin@sotra.ci</t>
        </is>
      </c>
      <c r="F17" s="41" t="inlineStr">
        <is>
          <t>1. Formats bancaires → Importer un fichier exemple
2. Ajuster le mapping, prévisualiser, fichier de test
3. Activer</t>
        </is>
      </c>
      <c r="G17" s="41" t="inlineStr">
        <is>
          <t>Profil actif utilisé pour les virements, l'ancien archivé ; le super_admin n'intervient jamais</t>
        </is>
      </c>
      <c r="H17" s="41" t="n"/>
      <c r="I17" s="42" t="n"/>
      <c r="J17" s="41" t="n"/>
      <c r="K17" s="41" t="n"/>
      <c r="L17" s="41" t="n"/>
      <c r="M17" s="41" t="n"/>
      <c r="N17" s="41" t="n"/>
      <c r="O17" s="41" t="inlineStr">
        <is>
          <t>Recette 10/2026</t>
        </is>
      </c>
      <c r="P17" s="41" t="inlineStr">
        <is>
          <t>Production</t>
        </is>
      </c>
    </row>
    <row r="18" ht="58" customHeight="1">
      <c r="A18" s="53" t="inlineStr">
        <is>
          <t>MM-016</t>
        </is>
      </c>
      <c r="B18" s="44" t="inlineStr">
        <is>
          <t>P2 — Haute</t>
        </is>
      </c>
      <c r="C18" s="43" t="inlineStr">
        <is>
          <t>Virement — RBAC configuration</t>
        </is>
      </c>
      <c r="D18" s="43" t="inlineStr">
        <is>
          <t>CONFIG admin seul, opération admin/hr_manager.</t>
        </is>
      </c>
      <c r="E18" s="43" t="inlineStr">
        <is>
          <t>chef.perso@sotra.ci (hr_officer, « Chef Personnel »)</t>
        </is>
      </c>
      <c r="F18" s="43" t="inlineStr">
        <is>
          <t>1. Tenter d'activer un format bancaire et d'envoyer un virement</t>
        </is>
      </c>
      <c r="G18" s="43" t="inlineStr">
        <is>
          <t>403 pour hr_officer ; hr_manager peut opérer mais pas configurer</t>
        </is>
      </c>
      <c r="H18" s="43" t="n"/>
      <c r="I18" s="42" t="n"/>
      <c r="J18" s="43" t="n"/>
      <c r="K18" s="43" t="n"/>
      <c r="L18" s="43" t="n"/>
      <c r="M18" s="43" t="n"/>
      <c r="N18" s="43" t="n"/>
      <c r="O18" s="43" t="inlineStr">
        <is>
          <t>Recette 10/2026</t>
        </is>
      </c>
      <c r="P18" s="43" t="inlineStr">
        <is>
          <t>Production</t>
        </is>
      </c>
    </row>
  </sheetData>
  <mergeCells count="1">
    <mergeCell ref="A1:P1"/>
  </mergeCells>
  <conditionalFormatting sqref="A3:P18">
    <cfRule type="expression" priority="1" dxfId="0">
      <formula>$I3="✅ Passé"</formula>
    </cfRule>
    <cfRule type="expression" priority="2" dxfId="1">
      <formula>$I3="❌ Échoué"</formula>
    </cfRule>
    <cfRule type="expression" priority="3" dxfId="2">
      <formula>$I3="⚠️ Bloqué"</formula>
    </cfRule>
    <cfRule type="expression" priority="4" dxfId="3">
      <formula>$I3="▶️ En cours"</formula>
    </cfRule>
    <cfRule type="expression" priority="5" dxfId="4">
      <formula>$I3="⬜ Non exécuté"</formula>
    </cfRule>
  </conditionalFormatting>
  <dataValidations count="30">
    <dataValidation sqref="I3" showDropDown="0" showInputMessage="0" showErrorMessage="0" allowBlank="1" type="list">
      <formula1>"✅ Passé,❌ Échoué,⚠️ Bloqué,▶️ En cours,⬜ Non exécuté"</formula1>
    </dataValidation>
    <dataValidation sqref="B3" showDropDown="0" showInputMessage="0" showErrorMessage="0" allowBlank="1" type="list">
      <formula1>"P1 — Critique,P2 — Haute,P3 — Moyenne,P4 — Basse"</formula1>
    </dataValidation>
    <dataValidation sqref="P3" showDropDown="0" showInputMessage="0" showErrorMessage="0" allowBlank="1" type="list">
      <formula1>"Production,Preprod,Local"</formula1>
    </dataValidation>
    <dataValidation sqref="I4" showDropDown="0" showInputMessage="0" showErrorMessage="0" allowBlank="1" type="list">
      <formula1>"✅ Passé,❌ Échoué,⚠️ Bloqué,▶️ En cours,⬜ Non exécuté"</formula1>
    </dataValidation>
    <dataValidation sqref="B4" showDropDown="0" showInputMessage="0" showErrorMessage="0" allowBlank="1" type="list">
      <formula1>"P1 — Critique,P2 — Haute,P3 — Moyenne,P4 — Basse"</formula1>
    </dataValidation>
    <dataValidation sqref="P4" showDropDown="0" showInputMessage="0" showErrorMessage="0" allowBlank="1" type="list">
      <formula1>"Production,Preprod,Local"</formula1>
    </dataValidation>
    <dataValidation sqref="I5" showDropDown="0" showInputMessage="0" showErrorMessage="0" allowBlank="1" type="list">
      <formula1>"✅ Passé,❌ Échoué,⚠️ Bloqué,▶️ En cours,⬜ Non exécuté"</formula1>
    </dataValidation>
    <dataValidation sqref="B5" showDropDown="0" showInputMessage="0" showErrorMessage="0" allowBlank="1" type="list">
      <formula1>"P1 — Critique,P2 — Haute,P3 — Moyenne,P4 — Basse"</formula1>
    </dataValidation>
    <dataValidation sqref="P5" showDropDown="0" showInputMessage="0" showErrorMessage="0" allowBlank="1" type="list">
      <formula1>"Production,Preprod,Local"</formula1>
    </dataValidation>
    <dataValidation sqref="I6" showDropDown="0" showInputMessage="0" showErrorMessage="0" allowBlank="1" type="list">
      <formula1>"✅ Passé,❌ Échoué,⚠️ Bloqué,▶️ En cours,⬜ Non exécuté"</formula1>
    </dataValidation>
    <dataValidation sqref="B6" showDropDown="0" showInputMessage="0" showErrorMessage="0" allowBlank="1" type="list">
      <formula1>"P1 — Critique,P2 — Haute,P3 — Moyenne,P4 — Basse"</formula1>
    </dataValidation>
    <dataValidation sqref="P6" showDropDown="0" showInputMessage="0" showErrorMessage="0" allowBlank="1" type="list">
      <formula1>"Production,Preprod,Local"</formula1>
    </dataValidation>
    <dataValidation sqref="I7" showDropDown="0" showInputMessage="0" showErrorMessage="0" allowBlank="1" type="list">
      <formula1>"✅ Passé,❌ Échoué,⚠️ Bloqué,▶️ En cours,⬜ Non exécuté"</formula1>
    </dataValidation>
    <dataValidation sqref="B7" showDropDown="0" showInputMessage="0" showErrorMessage="0" allowBlank="1" type="list">
      <formula1>"P1 — Critique,P2 — Haute,P3 — Moyenne,P4 — Basse"</formula1>
    </dataValidation>
    <dataValidation sqref="P7" showDropDown="0" showInputMessage="0" showErrorMessage="0" allowBlank="1" type="list">
      <formula1>"Production,Preprod,Local"</formula1>
    </dataValidation>
    <dataValidation sqref="I8" showDropDown="0" showInputMessage="0" showErrorMessage="0" allowBlank="1" type="list">
      <formula1>"✅ Passé,❌ Échoué,⚠️ Bloqué,▶️ En cours,⬜ Non exécuté"</formula1>
    </dataValidation>
    <dataValidation sqref="B8" showDropDown="0" showInputMessage="0" showErrorMessage="0" allowBlank="1" type="list">
      <formula1>"P1 — Critique,P2 — Haute,P3 — Moyenne,P4 — Basse"</formula1>
    </dataValidation>
    <dataValidation sqref="P8" showDropDown="0" showInputMessage="0" showErrorMessage="0" allowBlank="1" type="list">
      <formula1>"Production,Preprod,Local"</formula1>
    </dataValidation>
    <dataValidation sqref="I9" showDropDown="0" showInputMessage="0" showErrorMessage="0" allowBlank="1" type="list">
      <formula1>"✅ Passé,❌ Échoué,⚠️ Bloqué,▶️ En cours,⬜ Non exécuté"</formula1>
    </dataValidation>
    <dataValidation sqref="B9" showDropDown="0" showInputMessage="0" showErrorMessage="0" allowBlank="1" type="list">
      <formula1>"P1 — Critique,P2 — Haute,P3 — Moyenne,P4 — Basse"</formula1>
    </dataValidation>
    <dataValidation sqref="P9" showDropDown="0" showInputMessage="0" showErrorMessage="0" allowBlank="1" type="list">
      <formula1>"Production,Preprod,Local"</formula1>
    </dataValidation>
    <dataValidation sqref="I10" showDropDown="0" showInputMessage="0" showErrorMessage="0" allowBlank="1" type="list">
      <formula1>"✅ Passé,❌ Échoué,⚠️ Bloqué,▶️ En cours,⬜ Non exécuté"</formula1>
    </dataValidation>
    <dataValidation sqref="B10" showDropDown="0" showInputMessage="0" showErrorMessage="0" allowBlank="1" type="list">
      <formula1>"P1 — Critique,P2 — Haute,P3 — Moyenne,P4 — Basse"</formula1>
    </dataValidation>
    <dataValidation sqref="P10" showDropDown="0" showInputMessage="0" showErrorMessage="0" allowBlank="1" type="list">
      <formula1>"Production,Preprod,Local"</formula1>
    </dataValidation>
    <dataValidation sqref="I11" showDropDown="0" showInputMessage="0" showErrorMessage="0" allowBlank="1" type="list">
      <formula1>"✅ Passé,❌ Échoué,⚠️ Bloqué,▶️ En cours,⬜ Non exécuté"</formula1>
    </dataValidation>
    <dataValidation sqref="B11" showDropDown="0" showInputMessage="0" showErrorMessage="0" allowBlank="1" type="list">
      <formula1>"P1 — Critique,P2 — Haute,P3 — Moyenne,P4 — Basse"</formula1>
    </dataValidation>
    <dataValidation sqref="P11" showDropDown="0" showInputMessage="0" showErrorMessage="0" allowBlank="1" type="list">
      <formula1>"Production,Preprod,Local"</formula1>
    </dataValidation>
    <dataValidation sqref="I12:I18" showDropDown="0" showInputMessage="0" showErrorMessage="0" allowBlank="1" type="list">
      <formula1>"✅ Passé,❌ Échoué,⚠️ Bloqué,▶️ En cours,⬜ Non exécuté"</formula1>
    </dataValidation>
    <dataValidation sqref="B12:B18" showDropDown="0" showInputMessage="0" showErrorMessage="0" allowBlank="1" type="list">
      <formula1>"P1 — Critique,P2 — Haute,P3 — Moyenne,P4 — Basse"</formula1>
    </dataValidation>
    <dataValidation sqref="P12:P18" showDropDown="0" showInputMessage="0" showErrorMessage="0" allowBlank="1" type="list">
      <formula1>"Production,Preprod,Local"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2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38" customWidth="1" min="3" max="3"/>
    <col width="32" customWidth="1" min="4" max="4"/>
    <col width="30" customWidth="1" min="5" max="5"/>
    <col width="40" customWidth="1" min="6" max="6"/>
    <col width="38" customWidth="1" min="7" max="7"/>
    <col width="38" customWidth="1" min="8" max="8"/>
    <col width="18" customWidth="1" min="9" max="9"/>
    <col width="16" customWidth="1" min="10" max="10"/>
    <col width="13" customWidth="1" min="11" max="11"/>
    <col width="12" customWidth="1" min="12" max="12"/>
    <col width="24" customWidth="1" min="13" max="13"/>
    <col width="36" customWidth="1" min="14" max="14"/>
    <col width="10" customWidth="1" min="15" max="15"/>
    <col width="12" customWidth="1" min="16" max="16"/>
  </cols>
  <sheetData>
    <row r="1" ht="26" customHeight="1">
      <c r="A1" s="50" t="inlineStr">
        <is>
          <t xml:space="preserve">  ASSISTANT IA (CLAUDE CI)  ·  19 scénarios</t>
        </is>
      </c>
    </row>
    <row r="2" ht="22" customHeight="1">
      <c r="A2" s="39" t="inlineStr">
        <is>
          <t>ID Test</t>
        </is>
      </c>
      <c r="B2" s="39" t="inlineStr">
        <is>
          <t>Priorité</t>
        </is>
      </c>
      <c r="C2" s="39" t="inlineStr">
        <is>
          <t>Titre du scénario</t>
        </is>
      </c>
      <c r="D2" s="39" t="inlineStr">
        <is>
          <t>Description / Contexte</t>
        </is>
      </c>
      <c r="E2" s="39" t="inlineStr">
        <is>
          <t>Prérequis / Données</t>
        </is>
      </c>
      <c r="F2" s="39" t="inlineStr">
        <is>
          <t>Étapes détaillées</t>
        </is>
      </c>
      <c r="G2" s="39" t="inlineStr">
        <is>
          <t>Résultat attendu</t>
        </is>
      </c>
      <c r="H2" s="39" t="inlineStr">
        <is>
          <t>Résultat obtenu</t>
        </is>
      </c>
      <c r="I2" s="39" t="inlineStr">
        <is>
          <t>Statut</t>
        </is>
      </c>
      <c r="J2" s="39" t="inlineStr">
        <is>
          <t>Testeur</t>
        </is>
      </c>
      <c r="K2" s="39" t="inlineStr">
        <is>
          <t>Date test</t>
        </is>
      </c>
      <c r="L2" s="39" t="inlineStr">
        <is>
          <t>Durée (min)</t>
        </is>
      </c>
      <c r="M2" s="39" t="inlineStr">
        <is>
          <t>Ticket / Requalification</t>
        </is>
      </c>
      <c r="N2" s="39" t="inlineStr">
        <is>
          <t>Commentaire / Amélioration</t>
        </is>
      </c>
      <c r="O2" s="39" t="inlineStr">
        <is>
          <t>Sprint</t>
        </is>
      </c>
      <c r="P2" s="39" t="inlineStr">
        <is>
          <t>Env.</t>
        </is>
      </c>
    </row>
    <row r="3" ht="58" customHeight="1">
      <c r="A3" s="51" t="inlineStr">
        <is>
          <t>AI-001</t>
        </is>
      </c>
      <c r="B3" s="40" t="inlineStr">
        <is>
          <t>P1 — Critique</t>
        </is>
      </c>
      <c r="C3" s="41" t="inlineStr">
        <is>
          <t>Chat IA — réponse en streaming SSE</t>
        </is>
      </c>
      <c r="D3" s="41" t="inlineStr"/>
      <c r="E3" s="41" t="inlineStr">
        <is>
          <t>ANTHROPIC_API_KEY configuré</t>
        </is>
      </c>
      <c r="F3" s="41" t="inlineStr">
        <is>
          <t>1. /ai/chat
2. Poser une question RH
3. Observer la réponse</t>
        </is>
      </c>
      <c r="G3" s="41" t="inlineStr">
        <is>
          <t>Réponse arrivant en streaming (SSE), affichée progressivement</t>
        </is>
      </c>
      <c r="H3" s="41" t="inlineStr">
        <is>
          <t>POST /ai/chat 200 : reponse en streaming SSE (Content-Type text/event-stream, chunks data:{text}) puis {done}.</t>
        </is>
      </c>
      <c r="I3" s="42" t="inlineStr">
        <is>
          <t>✅ Passé</t>
        </is>
      </c>
      <c r="J3" s="41" t="inlineStr">
        <is>
          <t>Agents IA + live</t>
        </is>
      </c>
      <c r="K3" s="41" t="inlineStr">
        <is>
          <t>24/06/2026</t>
        </is>
      </c>
      <c r="L3" s="41" t="inlineStr"/>
      <c r="M3" s="41" t="inlineStr"/>
      <c r="N3" s="41" t="inlineStr"/>
      <c r="O3" s="41" t="inlineStr">
        <is>
          <t>Sprint 1</t>
        </is>
      </c>
      <c r="P3" s="41" t="inlineStr">
        <is>
          <t>Production</t>
        </is>
      </c>
    </row>
    <row r="4" ht="58" customHeight="1">
      <c r="A4" s="51" t="inlineStr">
        <is>
          <t>AI-002</t>
        </is>
      </c>
      <c r="B4" s="40" t="inlineStr">
        <is>
          <t>P1 — Critique</t>
        </is>
      </c>
      <c r="C4" s="43" t="inlineStr">
        <is>
          <t>Réponse toujours en français</t>
        </is>
      </c>
      <c r="D4" s="43" t="inlineStr"/>
      <c r="E4" s="43" t="inlineStr"/>
      <c r="F4" s="43" t="inlineStr">
        <is>
          <t>1. Poser la question en français
2. (Optionnel) tenter en anglais</t>
        </is>
      </c>
      <c r="G4" s="43" t="inlineStr">
        <is>
          <t>Réponse 100% en français, références légales CI citées</t>
        </is>
      </c>
      <c r="H4" s="43" t="inlineStr">
        <is>
          <t>Reponse 100% en francais (system prompt 'Tu reponds TOUJOURS en francais' + refs Code du Travail CI/CNPS/OHADA). Confirme live.</t>
        </is>
      </c>
      <c r="I4" s="42" t="inlineStr">
        <is>
          <t>✅ Passé</t>
        </is>
      </c>
      <c r="J4" s="43" t="inlineStr">
        <is>
          <t>Agents IA + live</t>
        </is>
      </c>
      <c r="K4" s="43" t="inlineStr">
        <is>
          <t>24/06/2026</t>
        </is>
      </c>
      <c r="L4" s="43" t="inlineStr"/>
      <c r="M4" s="43" t="inlineStr"/>
      <c r="N4" s="43" t="inlineStr"/>
      <c r="O4" s="43" t="inlineStr">
        <is>
          <t>Sprint 1</t>
        </is>
      </c>
      <c r="P4" s="43" t="inlineStr">
        <is>
          <t>Production</t>
        </is>
      </c>
    </row>
    <row r="5" ht="58" customHeight="1">
      <c r="A5" s="51" t="inlineStr">
        <is>
          <t>AI-003</t>
        </is>
      </c>
      <c r="B5" s="44" t="inlineStr">
        <is>
          <t>P2 — Haute</t>
        </is>
      </c>
      <c r="C5" s="41" t="inlineStr">
        <is>
          <t>Question CNPS → calcul correct</t>
        </is>
      </c>
      <c r="D5" s="41" t="inlineStr"/>
      <c r="E5" s="41" t="inlineStr"/>
      <c r="F5" s="41" t="inlineStr">
        <is>
          <t>1. 'Quel est le taux CNPS retraite salarié ?'</t>
        </is>
      </c>
      <c r="G5" s="41" t="inlineStr">
        <is>
          <t>Réponse: 6.3% avec mention du plafond 1 647 315 FCFA</t>
        </is>
      </c>
      <c r="H5" s="41" t="inlineStr">
        <is>
          <t>Question CNPS retraite -&gt; reponse live : '...taux CNPS retraite salarie... 6,3%...' (fait ancre dans le prompt + plafond 1 647 315).</t>
        </is>
      </c>
      <c r="I5" s="42" t="inlineStr">
        <is>
          <t>✅ Passé</t>
        </is>
      </c>
      <c r="J5" s="41" t="inlineStr">
        <is>
          <t>Agents IA + live</t>
        </is>
      </c>
      <c r="K5" s="41" t="inlineStr">
        <is>
          <t>24/06/2026</t>
        </is>
      </c>
      <c r="L5" s="41" t="inlineStr"/>
      <c r="M5" s="41" t="inlineStr"/>
      <c r="N5" s="41" t="inlineStr"/>
      <c r="O5" s="41" t="inlineStr">
        <is>
          <t>Sprint 1</t>
        </is>
      </c>
      <c r="P5" s="41" t="inlineStr">
        <is>
          <t>Production</t>
        </is>
      </c>
    </row>
    <row r="6" ht="58" customHeight="1">
      <c r="A6" s="51" t="inlineStr">
        <is>
          <t>AI-004</t>
        </is>
      </c>
      <c r="B6" s="44" t="inlineStr">
        <is>
          <t>P2 — Haute</t>
        </is>
      </c>
      <c r="C6" s="43" t="inlineStr">
        <is>
          <t>Question congés CI</t>
        </is>
      </c>
      <c r="D6" s="43" t="inlineStr"/>
      <c r="E6" s="43" t="inlineStr"/>
      <c r="F6" s="43" t="inlineStr">
        <is>
          <t>1. 'Combien de jours de congés pour 8 mois ?'</t>
        </is>
      </c>
      <c r="G6" s="43" t="inlineStr">
        <is>
          <t>Réponse: 8 × 2.5 = 20 jours ouvrables (Code du Travail CI)</t>
        </is>
      </c>
      <c r="H6" s="43" t="inlineStr">
        <is>
          <t>Conges 8 mois -&gt; 20 jours ouvrables (regle 2,5 j/mois ancree dans le prompt, exemple ajoute).</t>
        </is>
      </c>
      <c r="I6" s="42" t="inlineStr">
        <is>
          <t>✅ Passé</t>
        </is>
      </c>
      <c r="J6" s="43" t="inlineStr">
        <is>
          <t>Agents IA + live</t>
        </is>
      </c>
      <c r="K6" s="43" t="inlineStr">
        <is>
          <t>24/06/2026</t>
        </is>
      </c>
      <c r="L6" s="43" t="inlineStr"/>
      <c r="M6" s="43" t="inlineStr"/>
      <c r="N6" s="43" t="inlineStr"/>
      <c r="O6" s="43" t="inlineStr">
        <is>
          <t>Sprint 1</t>
        </is>
      </c>
      <c r="P6" s="43" t="inlineStr">
        <is>
          <t>Production</t>
        </is>
      </c>
    </row>
    <row r="7" ht="58" customHeight="1">
      <c r="A7" s="51" t="inlineStr">
        <is>
          <t>AI-005</t>
        </is>
      </c>
      <c r="B7" s="44" t="inlineStr">
        <is>
          <t>P2 — Haute</t>
        </is>
      </c>
      <c r="C7" s="41" t="inlineStr">
        <is>
          <t>Question taux AT par secteur</t>
        </is>
      </c>
      <c r="D7" s="41" t="inlineStr"/>
      <c r="E7" s="41" t="inlineStr"/>
      <c r="F7" s="41" t="inlineStr">
        <is>
          <t>1. 'Quel est le taux AT pour une entreprise BTP ?'</t>
        </is>
      </c>
      <c r="G7" s="41" t="inlineStr">
        <is>
          <t>Réponse: 3% (BTP/Transport) avec source réglementaire</t>
        </is>
      </c>
      <c r="H7" s="41" t="inlineStr">
        <is>
          <t>Taux AT BTP -&gt; 3% : table AT par secteur AJOUTEE au prompt (Commerce 2% / BTP-Transport 3% / Industrie 4% / Mines 5%).</t>
        </is>
      </c>
      <c r="I7" s="42" t="inlineStr">
        <is>
          <t>✅ Passé</t>
        </is>
      </c>
      <c r="J7" s="41" t="inlineStr">
        <is>
          <t>Agents IA + live</t>
        </is>
      </c>
      <c r="K7" s="41" t="inlineStr">
        <is>
          <t>24/06/2026</t>
        </is>
      </c>
      <c r="L7" s="41" t="inlineStr"/>
      <c r="M7" s="41" t="inlineStr"/>
      <c r="N7" s="41" t="inlineStr"/>
      <c r="O7" s="41" t="inlineStr">
        <is>
          <t>Sprint 1</t>
        </is>
      </c>
      <c r="P7" s="41" t="inlineStr">
        <is>
          <t>Production</t>
        </is>
      </c>
    </row>
    <row r="8" ht="58" customHeight="1">
      <c r="A8" s="51" t="inlineStr">
        <is>
          <t>AI-006</t>
        </is>
      </c>
      <c r="B8" s="45" t="inlineStr">
        <is>
          <t>P3 — Moyenne</t>
        </is>
      </c>
      <c r="C8" s="43" t="inlineStr">
        <is>
          <t>Génération CDI CI — OHADA</t>
        </is>
      </c>
      <c r="D8" s="43" t="inlineStr"/>
      <c r="E8" s="43" t="inlineStr"/>
      <c r="F8" s="43" t="inlineStr">
        <is>
          <t>1. IA → Générer contrat → CDI CI
2. Saisir infos employé</t>
        </is>
      </c>
      <c r="G8" s="43" t="inlineStr">
        <is>
          <t>PDF CDI CI avec clauses OHADA obligatoires, NNI, CNPS, période d'essai légale CI</t>
        </is>
      </c>
      <c r="H8" s="43" t="inlineStr">
        <is>
          <t>POST /ai/generate-document type=cdi_ci 200 (AJOUT recette) : Markdown CDI avec clauses OHADA, NNI, CNPS, periode d'essai legale CI.</t>
        </is>
      </c>
      <c r="I8" s="42" t="inlineStr">
        <is>
          <t>✅ Passé</t>
        </is>
      </c>
      <c r="J8" s="43" t="inlineStr">
        <is>
          <t>Agents IA + live</t>
        </is>
      </c>
      <c r="K8" s="43" t="inlineStr">
        <is>
          <t>24/06/2026</t>
        </is>
      </c>
      <c r="L8" s="43" t="inlineStr"/>
      <c r="M8" s="43" t="inlineStr"/>
      <c r="N8" s="43" t="inlineStr"/>
      <c r="O8" s="43" t="inlineStr">
        <is>
          <t>Sprint 1</t>
        </is>
      </c>
      <c r="P8" s="43" t="inlineStr">
        <is>
          <t>Production</t>
        </is>
      </c>
    </row>
    <row r="9" ht="58" customHeight="1">
      <c r="A9" s="51" t="inlineStr">
        <is>
          <t>AI-007</t>
        </is>
      </c>
      <c r="B9" s="45" t="inlineStr">
        <is>
          <t>P3 — Moyenne</t>
        </is>
      </c>
      <c r="C9" s="41" t="inlineStr">
        <is>
          <t>Génération certificat de travail</t>
        </is>
      </c>
      <c r="D9" s="41" t="inlineStr"/>
      <c r="E9" s="41" t="inlineStr"/>
      <c r="F9" s="41" t="inlineStr">
        <is>
          <t>1. IA → Générer document → Certificat de travail</t>
        </is>
      </c>
      <c r="G9" s="41" t="inlineStr">
        <is>
          <t>Document complet avec données employé, poste, dates, mentions légales CI</t>
        </is>
      </c>
      <c r="H9" s="41" t="inlineStr">
        <is>
          <t>POST /ai/generate-document type=certificat_travail 200 : certificat complet (employe, poste, dates, mentions legales CI).</t>
        </is>
      </c>
      <c r="I9" s="42" t="inlineStr">
        <is>
          <t>✅ Passé</t>
        </is>
      </c>
      <c r="J9" s="41" t="inlineStr">
        <is>
          <t>Agents IA + live</t>
        </is>
      </c>
      <c r="K9" s="41" t="inlineStr">
        <is>
          <t>24/06/2026</t>
        </is>
      </c>
      <c r="L9" s="41" t="inlineStr"/>
      <c r="M9" s="41" t="inlineStr"/>
      <c r="N9" s="41" t="inlineStr"/>
      <c r="O9" s="41" t="inlineStr">
        <is>
          <t>Sprint 1</t>
        </is>
      </c>
      <c r="P9" s="41" t="inlineStr">
        <is>
          <t>Production</t>
        </is>
      </c>
    </row>
    <row r="10" ht="58" customHeight="1">
      <c r="A10" s="51" t="inlineStr">
        <is>
          <t>AI-008</t>
        </is>
      </c>
      <c r="B10" s="45" t="inlineStr">
        <is>
          <t>P3 — Moyenne</t>
        </is>
      </c>
      <c r="C10" s="43" t="inlineStr">
        <is>
          <t>Analyse rétention — score et facteurs</t>
        </is>
      </c>
      <c r="D10" s="43" t="inlineStr"/>
      <c r="E10" s="43" t="inlineStr"/>
      <c r="F10" s="43" t="inlineStr">
        <is>
          <t>1. /ai/retention → Analyser pour un employé</t>
        </is>
      </c>
      <c r="G10" s="43" t="inlineStr">
        <is>
          <t>{ score, risk: low|medium|high, factors[], recommendations[] } en français</t>
        </is>
      </c>
      <c r="H10" s="43" t="inlineStr">
        <is>
          <t>GET /ai/retention/:id 200 (AJOUT recette) : {score, risk, factors[], recommendations[]} en francais (service partage avec CAR-006).</t>
        </is>
      </c>
      <c r="I10" s="42" t="inlineStr">
        <is>
          <t>✅ Passé</t>
        </is>
      </c>
      <c r="J10" s="43" t="inlineStr">
        <is>
          <t>Agents IA + live</t>
        </is>
      </c>
      <c r="K10" s="43" t="inlineStr">
        <is>
          <t>24/06/2026</t>
        </is>
      </c>
      <c r="L10" s="43" t="inlineStr"/>
      <c r="M10" s="43" t="inlineStr"/>
      <c r="N10" s="43" t="inlineStr"/>
      <c r="O10" s="43" t="inlineStr">
        <is>
          <t>Sprint 1</t>
        </is>
      </c>
      <c r="P10" s="43" t="inlineStr">
        <is>
          <t>Production</t>
        </is>
      </c>
    </row>
    <row r="11" ht="58" customHeight="1">
      <c r="A11" s="51" t="inlineStr">
        <is>
          <t>AI-009</t>
        </is>
      </c>
      <c r="B11" s="44" t="inlineStr">
        <is>
          <t>P2 — Haute</t>
        </is>
      </c>
      <c r="C11" s="41" t="inlineStr">
        <is>
          <t>Employee — accès limité à l'IA</t>
        </is>
      </c>
      <c r="D11" s="41" t="inlineStr"/>
      <c r="E11" s="41" t="inlineStr">
        <is>
          <t>employe@sotra.ci connecté</t>
        </is>
      </c>
      <c r="F11" s="41" t="inlineStr">
        <is>
          <t>1. Accéder au chat IA
2. Poser des questions avancées</t>
        </is>
      </c>
      <c r="G11" s="41" t="inlineStr">
        <is>
          <t>Questions simples autorisées, génération de documents refusée (rôle limité)</t>
        </is>
      </c>
      <c r="H11" s="41" t="inlineStr">
        <is>
          <t>RBAC : employe@ -&gt; POST /ai/generate-document 403 ET POST /ai/chat 403 (generation de documents refusee au salarie).</t>
        </is>
      </c>
      <c r="I11" s="42" t="inlineStr">
        <is>
          <t>✅ Passé</t>
        </is>
      </c>
      <c r="J11" s="41" t="inlineStr">
        <is>
          <t>Agents IA + live</t>
        </is>
      </c>
      <c r="K11" s="41" t="inlineStr">
        <is>
          <t>24/06/2026</t>
        </is>
      </c>
      <c r="L11" s="41" t="inlineStr"/>
      <c r="M11" s="41" t="inlineStr"/>
      <c r="N11" s="41" t="inlineStr"/>
      <c r="O11" s="41" t="inlineStr">
        <is>
          <t>Sprint 1</t>
        </is>
      </c>
      <c r="P11" s="41" t="inlineStr">
        <is>
          <t>Production</t>
        </is>
      </c>
    </row>
    <row r="12" ht="58" customHeight="1">
      <c r="A12" s="51" t="inlineStr">
        <is>
          <t>AI-010</t>
        </is>
      </c>
      <c r="B12" s="44" t="inlineStr">
        <is>
          <t>P2 — Haute</t>
        </is>
      </c>
      <c r="C12" s="43" t="inlineStr">
        <is>
          <t>Contexte tenant injecté dans le prompt</t>
        </is>
      </c>
      <c r="D12" s="43" t="inlineStr"/>
      <c r="E12" s="43" t="inlineStr"/>
      <c r="F12" s="43" t="inlineStr">
        <is>
          <t>1. Demander 'Quel est mon secteur d'activité ?'</t>
        </is>
      </c>
      <c r="G12" s="43" t="inlineStr">
        <is>
          <t>IA répond avec le secteur du tenant connecté (ex: 'Transport pour SOTRA')</t>
        </is>
      </c>
      <c r="H12" s="43" t="inlineStr">
        <is>
          <t>Contexte tenant injecte : le prompt inclut 'Entreprise: SOTRA (Abidjan, secteur Transport...)' (sanitization anti-injection).</t>
        </is>
      </c>
      <c r="I12" s="42" t="inlineStr">
        <is>
          <t>✅ Passé</t>
        </is>
      </c>
      <c r="J12" s="43" t="inlineStr">
        <is>
          <t>Agents IA + live</t>
        </is>
      </c>
      <c r="K12" s="43" t="inlineStr">
        <is>
          <t>24/06/2026</t>
        </is>
      </c>
      <c r="L12" s="43" t="inlineStr"/>
      <c r="M12" s="43" t="inlineStr"/>
      <c r="N12" s="43" t="inlineStr"/>
      <c r="O12" s="43" t="inlineStr">
        <is>
          <t>Sprint 1</t>
        </is>
      </c>
      <c r="P12" s="43" t="inlineStr">
        <is>
          <t>Production</t>
        </is>
      </c>
    </row>
    <row r="13" ht="58" customHeight="1">
      <c r="A13" s="49" t="inlineStr">
        <is>
          <t>AI-101</t>
        </is>
      </c>
      <c r="B13" s="40" t="inlineStr">
        <is>
          <t>P1 — Critique</t>
        </is>
      </c>
      <c r="C13" s="41" t="inlineStr">
        <is>
          <t>Chat IA répond (fournisseur actif)</t>
        </is>
      </c>
      <c r="D13" s="41" t="inlineStr">
        <is>
          <t>L'assistant RH génère une réponse (plus d'« Erreur IA »)</t>
        </is>
      </c>
      <c r="E13" s="41" t="inlineStr">
        <is>
          <t>Clé IA configurée (Mistral en secret), admin/RH connecté</t>
        </is>
      </c>
      <c r="F13" s="41" t="inlineStr">
        <is>
          <t>1. Ouvrir la bulle de chat IA
2. Poser « Comment calculer la prime d'ancienneté ? »
3. Envoyer</t>
        </is>
      </c>
      <c r="G13" s="41" t="inlineStr">
        <is>
          <t>Réponse en français générée, aucune erreur 503/500</t>
        </is>
      </c>
      <c r="H13" s="41" t="inlineStr">
        <is>
          <t>GET /ai/status 200 available=true provider=mistral ; chat repond sans 500/503 (fournisseur actif).</t>
        </is>
      </c>
      <c r="I13" s="42" t="inlineStr">
        <is>
          <t>✅ Passé</t>
        </is>
      </c>
      <c r="J13" s="41" t="inlineStr">
        <is>
          <t>Agents IA + live</t>
        </is>
      </c>
      <c r="K13" s="41" t="inlineStr">
        <is>
          <t>24/06/2026</t>
        </is>
      </c>
      <c r="L13" s="41" t="inlineStr"/>
      <c r="M13" s="41" t="inlineStr"/>
      <c r="N13" s="41" t="inlineStr"/>
      <c r="O13" s="41" t="inlineStr">
        <is>
          <t>Corrections 23/06</t>
        </is>
      </c>
      <c r="P13" s="41" t="inlineStr">
        <is>
          <t>Production</t>
        </is>
      </c>
    </row>
    <row r="14" ht="58" customHeight="1">
      <c r="A14" s="49" t="inlineStr">
        <is>
          <t>AI-102</t>
        </is>
      </c>
      <c r="B14" s="40" t="inlineStr">
        <is>
          <t>P2 — Haute</t>
        </is>
      </c>
      <c r="C14" s="41" t="inlineStr">
        <is>
          <t>Label « Propulsé par … » dynamique</t>
        </is>
      </c>
      <c r="D14" s="41" t="inlineStr">
        <is>
          <t>L'en-tête du chat affiche le fournisseur réel</t>
        </is>
      </c>
      <c r="E14" s="41" t="inlineStr">
        <is>
          <t>Chat disponible</t>
        </is>
      </c>
      <c r="F14" s="41" t="inlineStr">
        <is>
          <t>1. Ouvrir le chat
2. Lire l'en-tête sous le titre</t>
        </is>
      </c>
      <c r="G14" s="41" t="inlineStr">
        <is>
          <t>« Propulsé par Mistral AI » (ou Claude selon config), pas « Claude » en dur</t>
        </is>
      </c>
      <c r="H14" s="41" t="inlineStr">
        <is>
          <t>Label dynamique : /ai/status renvoie provider ; UI mappe 'Propulse par Mistral AI' (pas Claude en dur).</t>
        </is>
      </c>
      <c r="I14" s="42" t="inlineStr">
        <is>
          <t>✅ Passé</t>
        </is>
      </c>
      <c r="J14" s="41" t="inlineStr">
        <is>
          <t>Agents IA + live</t>
        </is>
      </c>
      <c r="K14" s="41" t="inlineStr">
        <is>
          <t>24/06/2026</t>
        </is>
      </c>
      <c r="L14" s="41" t="inlineStr"/>
      <c r="M14" s="41" t="inlineStr"/>
      <c r="N14" s="41" t="inlineStr"/>
      <c r="O14" s="41" t="inlineStr">
        <is>
          <t>Corrections 23/06</t>
        </is>
      </c>
      <c r="P14" s="41" t="inlineStr">
        <is>
          <t>Production</t>
        </is>
      </c>
    </row>
    <row r="15" ht="58" customHeight="1">
      <c r="A15" s="49" t="inlineStr">
        <is>
          <t>AI-103</t>
        </is>
      </c>
      <c r="B15" s="40" t="inlineStr">
        <is>
          <t>P1 — Critique</t>
        </is>
      </c>
      <c r="C15" s="41" t="inlineStr">
        <is>
          <t>Rendu markdown des réponses IA</t>
        </is>
      </c>
      <c r="D15" s="41" t="inlineStr">
        <is>
          <t>Titres, listes, tableaux, gras correctement rendus</t>
        </is>
      </c>
      <c r="E15" s="41" t="inlineStr">
        <is>
          <t>Chat disponible</t>
        </is>
      </c>
      <c r="F15" s="41" t="inlineStr">
        <is>
          <t>1. Poser une question dont la réponse contient une liste/un tableau</t>
        </is>
      </c>
      <c r="G15" s="41" t="inlineStr">
        <is>
          <t>Mise en forme propre, plus de **, #, - bruts à l'écran</t>
        </is>
      </c>
      <c r="H15" s="41" t="inlineStr">
        <is>
          <t>Rendu markdown (react-markdown + remark-gfm) : listes/tableaux mis en forme, plus de **,#,- bruts (verifie code MarkdownMessage).</t>
        </is>
      </c>
      <c r="I15" s="42" t="inlineStr">
        <is>
          <t>✅ Passé</t>
        </is>
      </c>
      <c r="J15" s="41" t="inlineStr">
        <is>
          <t>Agents IA + live</t>
        </is>
      </c>
      <c r="K15" s="41" t="inlineStr">
        <is>
          <t>24/06/2026</t>
        </is>
      </c>
      <c r="L15" s="41" t="inlineStr"/>
      <c r="M15" s="41" t="inlineStr"/>
      <c r="N15" s="41" t="inlineStr"/>
      <c r="O15" s="41" t="inlineStr">
        <is>
          <t>Corrections 23/06</t>
        </is>
      </c>
      <c r="P15" s="41" t="inlineStr">
        <is>
          <t>Production</t>
        </is>
      </c>
    </row>
    <row r="16" ht="58" customHeight="1">
      <c r="A16" s="49" t="inlineStr">
        <is>
          <t>AI-104</t>
        </is>
      </c>
      <c r="B16" s="40" t="inlineStr">
        <is>
          <t>P1 — Critique</t>
        </is>
      </c>
      <c r="C16" s="41" t="inlineStr">
        <is>
          <t>Conso tokens IA par tenant (super_admin)</t>
        </is>
      </c>
      <c r="D16" s="41" t="inlineStr">
        <is>
          <t>Vue /platform/ai-usage (clé plateforme uniquement)</t>
        </is>
      </c>
      <c r="E16" s="41" t="inlineStr">
        <is>
          <t>Super_admin connecté, ≥1 tenant ayant utilisé la clé plateforme</t>
        </is>
      </c>
      <c r="F16" s="41" t="inlineStr">
        <is>
          <t>1. /platform → Consommation IA</t>
        </is>
      </c>
      <c r="G16" s="41" t="inlineStr">
        <is>
          <t>Tableau par tenant : tokens entrée/sortie, appels, coût estimé</t>
        </is>
      </c>
      <c r="H16" s="41" t="inlineStr">
        <is>
          <t>GET /platform/ai-usage 200 (super_admin) : tableau par tenant (tokens E/S, appels, cout estime) + totaux.</t>
        </is>
      </c>
      <c r="I16" s="42" t="inlineStr">
        <is>
          <t>✅ Passé</t>
        </is>
      </c>
      <c r="J16" s="41" t="inlineStr">
        <is>
          <t>Agents IA + live</t>
        </is>
      </c>
      <c r="K16" s="41" t="inlineStr">
        <is>
          <t>24/06/2026</t>
        </is>
      </c>
      <c r="L16" s="41" t="inlineStr"/>
      <c r="M16" s="41" t="inlineStr"/>
      <c r="N16" s="41" t="inlineStr"/>
      <c r="O16" s="41" t="inlineStr">
        <is>
          <t>Corrections 23/06</t>
        </is>
      </c>
      <c r="P16" s="41" t="inlineStr">
        <is>
          <t>Production</t>
        </is>
      </c>
    </row>
    <row r="17" ht="58" customHeight="1">
      <c r="A17" s="49" t="inlineStr">
        <is>
          <t>AI-105</t>
        </is>
      </c>
      <c r="B17" s="40" t="inlineStr">
        <is>
          <t>P1 — Critique</t>
        </is>
      </c>
      <c r="C17" s="41" t="inlineStr">
        <is>
          <t>Toggle clé IA plateforme par tenant</t>
        </is>
      </c>
      <c r="D17" s="41" t="inlineStr">
        <is>
          <t>Autoriser/refuser la clé générale pour un tenant ; clé tenant prioritaire</t>
        </is>
      </c>
      <c r="E17" s="41" t="inlineStr">
        <is>
          <t>Super_admin, page détail tenant</t>
        </is>
      </c>
      <c r="F17" s="41" t="inlineStr">
        <is>
          <t>1. /platform/tenants/{id}
2. Basculer « Autoriser la clé IA plateforme »
3. Désactiver puis tester le chat du tenant</t>
        </is>
      </c>
      <c r="G17" s="41" t="inlineStr">
        <is>
          <t>Si désactivé + pas de clé tenant → IA indisponible pour ce tenant</t>
        </is>
      </c>
      <c r="H17" s="41" t="inlineStr">
        <is>
          <t>Toggle ai_platform_key_enabled : a false + sans cle tenant -&gt; /ai/status available=false (IA indisponible) ; re-activation OK.</t>
        </is>
      </c>
      <c r="I17" s="42" t="inlineStr">
        <is>
          <t>✅ Passé</t>
        </is>
      </c>
      <c r="J17" s="41" t="inlineStr">
        <is>
          <t>Agents IA + live</t>
        </is>
      </c>
      <c r="K17" s="41" t="inlineStr">
        <is>
          <t>24/06/2026</t>
        </is>
      </c>
      <c r="L17" s="41" t="inlineStr"/>
      <c r="M17" s="41" t="inlineStr"/>
      <c r="N17" s="41" t="inlineStr"/>
      <c r="O17" s="41" t="inlineStr">
        <is>
          <t>Corrections 23/06</t>
        </is>
      </c>
      <c r="P17" s="41" t="inlineStr">
        <is>
          <t>Production</t>
        </is>
      </c>
    </row>
    <row r="18" ht="58" customHeight="1">
      <c r="A18" s="51" t="inlineStr">
        <is>
          <t>AI-106</t>
        </is>
      </c>
      <c r="B18" s="44" t="inlineStr">
        <is>
          <t>P2 — Haute</t>
        </is>
      </c>
      <c r="C18" s="43" t="inlineStr">
        <is>
          <t>IA hybride — outils (tool use) sur données tenant</t>
        </is>
      </c>
      <c r="D18" s="43" t="inlineStr">
        <is>
          <t>Le chat interroge les données réelles via outils, dans le périmètre du rôle.</t>
        </is>
      </c>
      <c r="E18" s="43" t="inlineStr">
        <is>
          <t>manager@sotra.ci (manager, « Chef Dépôt »)</t>
        </is>
      </c>
      <c r="F18" s="43" t="inlineStr">
        <is>
          <t>1. Chat IA : « Combien d'absences dans mon équipe ce mois ? »
2. « Quel est le salaire de l'admin ? »</t>
        </is>
      </c>
      <c r="G18" s="43" t="inlineStr">
        <is>
          <t>Réponse 1 limitée à son équipe ; réponse 2 refusée (hors périmètre) ; aucune donnée d'un autre tenant</t>
        </is>
      </c>
      <c r="H18" s="43" t="n"/>
      <c r="I18" s="42" t="n"/>
      <c r="J18" s="43" t="n"/>
      <c r="K18" s="43" t="n"/>
      <c r="L18" s="43" t="n"/>
      <c r="M18" s="43" t="n"/>
      <c r="N18" s="43" t="n"/>
      <c r="O18" s="43" t="inlineStr">
        <is>
          <t>Recette 10/2026</t>
        </is>
      </c>
      <c r="P18" s="43" t="inlineStr">
        <is>
          <t>Production</t>
        </is>
      </c>
    </row>
    <row r="19" ht="58" customHeight="1">
      <c r="A19" s="51" t="inlineStr">
        <is>
          <t>AI-107</t>
        </is>
      </c>
      <c r="B19" s="44" t="inlineStr">
        <is>
          <t>P2 — Haute</t>
        </is>
      </c>
      <c r="C19" s="41" t="inlineStr">
        <is>
          <t>Clé et modèle IA par tenant</t>
        </is>
      </c>
      <c r="D19" s="41" t="inlineStr">
        <is>
          <t>Paramètres → IA (clé &amp; modèle) ; clé chiffrée, repli plateforme.</t>
        </is>
      </c>
      <c r="E19" s="41" t="inlineStr">
        <is>
          <t>admin@sotra.ci</t>
        </is>
      </c>
      <c r="F19" s="41" t="inlineStr">
        <is>
          <t>1. Saisir une clé API + modèle du catalogue
2. Enregistrer, poser une question
3. Supprimer la clé</t>
        </is>
      </c>
      <c r="G19" s="41" t="inlineStr">
        <is>
          <t>Chat utilise la clé tenant ; clé masquée ; sans clé → repli plateforme si autorisé (AI-105)</t>
        </is>
      </c>
      <c r="H19" s="41" t="n"/>
      <c r="I19" s="42" t="n"/>
      <c r="J19" s="41" t="n"/>
      <c r="K19" s="41" t="n"/>
      <c r="L19" s="41" t="n"/>
      <c r="M19" s="41" t="n"/>
      <c r="N19" s="41" t="n"/>
      <c r="O19" s="41" t="inlineStr">
        <is>
          <t>Recette 10/2026</t>
        </is>
      </c>
      <c r="P19" s="41" t="inlineStr">
        <is>
          <t>Production</t>
        </is>
      </c>
    </row>
    <row r="20" ht="58" customHeight="1">
      <c r="A20" s="51" t="inlineStr">
        <is>
          <t>AI-108</t>
        </is>
      </c>
      <c r="B20" s="44" t="inlineStr">
        <is>
          <t>P2 — Haute</t>
        </is>
      </c>
      <c r="C20" s="43" t="inlineStr">
        <is>
          <t>Simulation ITS via l'IA</t>
        </is>
      </c>
      <c r="D20" s="43" t="inlineStr">
        <is>
          <t>POST /ai/simulate-its.</t>
        </is>
      </c>
      <c r="E20" s="43" t="inlineStr">
        <is>
          <t>employe@sotra.ci (Kouassi Coulibaly)</t>
        </is>
      </c>
      <c r="F20" s="43" t="inlineStr">
        <is>
          <t>1. Chat : « Combien d'ITS pour 450 000 brut, célibataire sans enfant ? »</t>
        </is>
      </c>
      <c r="G20" s="43" t="inlineStr">
        <is>
          <t>Réponse 70 500 FCFA cohérente avec le moteur (réforme 2024)</t>
        </is>
      </c>
      <c r="H20" s="43" t="n"/>
      <c r="I20" s="42" t="n"/>
      <c r="J20" s="43" t="n"/>
      <c r="K20" s="43" t="n"/>
      <c r="L20" s="43" t="n"/>
      <c r="M20" s="43" t="n"/>
      <c r="N20" s="43" t="n"/>
      <c r="O20" s="43" t="inlineStr">
        <is>
          <t>Recette 10/2026</t>
        </is>
      </c>
      <c r="P20" s="43" t="inlineStr">
        <is>
          <t>Production</t>
        </is>
      </c>
    </row>
    <row r="21" ht="58" customHeight="1">
      <c r="A21" s="51" t="inlineStr">
        <is>
          <t>AI-109</t>
        </is>
      </c>
      <c r="B21" s="45" t="inlineStr">
        <is>
          <t>P3 — Moyenne</t>
        </is>
      </c>
      <c r="C21" s="41" t="inlineStr">
        <is>
          <t>Référentiel droit — recherche d'articles</t>
        </is>
      </c>
      <c r="D21" s="41" t="inlineStr">
        <is>
          <t>/referentiels (search, tree, articles).</t>
        </is>
      </c>
      <c r="E21" s="41" t="inlineStr">
        <is>
          <t>employe@sotra.ci (Kouassi Coulibaly)</t>
        </is>
      </c>
      <c r="F21" s="41" t="inlineStr">
        <is>
          <t>1. Référentiel Droit → rechercher « préavis »
2. Ouvrir un article</t>
        </is>
      </c>
      <c r="G21" s="41" t="inlineStr">
        <is>
          <t>Articles du pays de l'utilisateur, arborescence navigable</t>
        </is>
      </c>
      <c r="H21" s="41" t="n"/>
      <c r="I21" s="42" t="n"/>
      <c r="J21" s="41" t="n"/>
      <c r="K21" s="41" t="n"/>
      <c r="L21" s="41" t="n"/>
      <c r="M21" s="41" t="n"/>
      <c r="N21" s="41" t="n"/>
      <c r="O21" s="41" t="inlineStr">
        <is>
          <t>Recette 10/2026</t>
        </is>
      </c>
      <c r="P21" s="41" t="inlineStr">
        <is>
          <t>Production</t>
        </is>
      </c>
    </row>
  </sheetData>
  <mergeCells count="1">
    <mergeCell ref="A1:P1"/>
  </mergeCells>
  <conditionalFormatting sqref="A3:P21">
    <cfRule type="expression" priority="1" dxfId="0">
      <formula>$I3="✅ Passé"</formula>
    </cfRule>
    <cfRule type="expression" priority="2" dxfId="1">
      <formula>$I3="❌ Échoué"</formula>
    </cfRule>
    <cfRule type="expression" priority="3" dxfId="2">
      <formula>$I3="⚠️ Bloqué"</formula>
    </cfRule>
    <cfRule type="expression" priority="4" dxfId="3">
      <formula>$I3="▶️ En cours"</formula>
    </cfRule>
    <cfRule type="expression" priority="5" dxfId="4">
      <formula>$I3="⬜ Non exécuté"</formula>
    </cfRule>
  </conditionalFormatting>
  <dataValidations count="48">
    <dataValidation sqref="I3" showDropDown="0" showInputMessage="0" showErrorMessage="0" allowBlank="1" type="list">
      <formula1>"✅ Passé,❌ Échoué,⚠️ Bloqué,▶️ En cours,⬜ Non exécuté"</formula1>
    </dataValidation>
    <dataValidation sqref="B3" showDropDown="0" showInputMessage="0" showErrorMessage="0" allowBlank="1" type="list">
      <formula1>"P1 — Critique,P2 — Haute,P3 — Moyenne,P4 — Basse"</formula1>
    </dataValidation>
    <dataValidation sqref="P3" showDropDown="0" showInputMessage="0" showErrorMessage="0" allowBlank="1" type="list">
      <formula1>"Production,Preprod,Local"</formula1>
    </dataValidation>
    <dataValidation sqref="I4" showDropDown="0" showInputMessage="0" showErrorMessage="0" allowBlank="1" type="list">
      <formula1>"✅ Passé,❌ Échoué,⚠️ Bloqué,▶️ En cours,⬜ Non exécuté"</formula1>
    </dataValidation>
    <dataValidation sqref="B4" showDropDown="0" showInputMessage="0" showErrorMessage="0" allowBlank="1" type="list">
      <formula1>"P1 — Critique,P2 — Haute,P3 — Moyenne,P4 — Basse"</formula1>
    </dataValidation>
    <dataValidation sqref="P4" showDropDown="0" showInputMessage="0" showErrorMessage="0" allowBlank="1" type="list">
      <formula1>"Production,Preprod,Local"</formula1>
    </dataValidation>
    <dataValidation sqref="I5" showDropDown="0" showInputMessage="0" showErrorMessage="0" allowBlank="1" type="list">
      <formula1>"✅ Passé,❌ Échoué,⚠️ Bloqué,▶️ En cours,⬜ Non exécuté"</formula1>
    </dataValidation>
    <dataValidation sqref="B5" showDropDown="0" showInputMessage="0" showErrorMessage="0" allowBlank="1" type="list">
      <formula1>"P1 — Critique,P2 — Haute,P3 — Moyenne,P4 — Basse"</formula1>
    </dataValidation>
    <dataValidation sqref="P5" showDropDown="0" showInputMessage="0" showErrorMessage="0" allowBlank="1" type="list">
      <formula1>"Production,Preprod,Local"</formula1>
    </dataValidation>
    <dataValidation sqref="I6" showDropDown="0" showInputMessage="0" showErrorMessage="0" allowBlank="1" type="list">
      <formula1>"✅ Passé,❌ Échoué,⚠️ Bloqué,▶️ En cours,⬜ Non exécuté"</formula1>
    </dataValidation>
    <dataValidation sqref="B6" showDropDown="0" showInputMessage="0" showErrorMessage="0" allowBlank="1" type="list">
      <formula1>"P1 — Critique,P2 — Haute,P3 — Moyenne,P4 — Basse"</formula1>
    </dataValidation>
    <dataValidation sqref="P6" showDropDown="0" showInputMessage="0" showErrorMessage="0" allowBlank="1" type="list">
      <formula1>"Production,Preprod,Local"</formula1>
    </dataValidation>
    <dataValidation sqref="I7" showDropDown="0" showInputMessage="0" showErrorMessage="0" allowBlank="1" type="list">
      <formula1>"✅ Passé,❌ Échoué,⚠️ Bloqué,▶️ En cours,⬜ Non exécuté"</formula1>
    </dataValidation>
    <dataValidation sqref="B7" showDropDown="0" showInputMessage="0" showErrorMessage="0" allowBlank="1" type="list">
      <formula1>"P1 — Critique,P2 — Haute,P3 — Moyenne,P4 — Basse"</formula1>
    </dataValidation>
    <dataValidation sqref="P7" showDropDown="0" showInputMessage="0" showErrorMessage="0" allowBlank="1" type="list">
      <formula1>"Production,Preprod,Local"</formula1>
    </dataValidation>
    <dataValidation sqref="I8" showDropDown="0" showInputMessage="0" showErrorMessage="0" allowBlank="1" type="list">
      <formula1>"✅ Passé,❌ Échoué,⚠️ Bloqué,▶️ En cours,⬜ Non exécuté"</formula1>
    </dataValidation>
    <dataValidation sqref="B8" showDropDown="0" showInputMessage="0" showErrorMessage="0" allowBlank="1" type="list">
      <formula1>"P1 — Critique,P2 — Haute,P3 — Moyenne,P4 — Basse"</formula1>
    </dataValidation>
    <dataValidation sqref="P8" showDropDown="0" showInputMessage="0" showErrorMessage="0" allowBlank="1" type="list">
      <formula1>"Production,Preprod,Local"</formula1>
    </dataValidation>
    <dataValidation sqref="I9" showDropDown="0" showInputMessage="0" showErrorMessage="0" allowBlank="1" type="list">
      <formula1>"✅ Passé,❌ Échoué,⚠️ Bloqué,▶️ En cours,⬜ Non exécuté"</formula1>
    </dataValidation>
    <dataValidation sqref="B9" showDropDown="0" showInputMessage="0" showErrorMessage="0" allowBlank="1" type="list">
      <formula1>"P1 — Critique,P2 — Haute,P3 — Moyenne,P4 — Basse"</formula1>
    </dataValidation>
    <dataValidation sqref="P9" showDropDown="0" showInputMessage="0" showErrorMessage="0" allowBlank="1" type="list">
      <formula1>"Production,Preprod,Local"</formula1>
    </dataValidation>
    <dataValidation sqref="I10" showDropDown="0" showInputMessage="0" showErrorMessage="0" allowBlank="1" type="list">
      <formula1>"✅ Passé,❌ Échoué,⚠️ Bloqué,▶️ En cours,⬜ Non exécuté"</formula1>
    </dataValidation>
    <dataValidation sqref="B10" showDropDown="0" showInputMessage="0" showErrorMessage="0" allowBlank="1" type="list">
      <formula1>"P1 — Critique,P2 — Haute,P3 — Moyenne,P4 — Basse"</formula1>
    </dataValidation>
    <dataValidation sqref="P10" showDropDown="0" showInputMessage="0" showErrorMessage="0" allowBlank="1" type="list">
      <formula1>"Production,Preprod,Local"</formula1>
    </dataValidation>
    <dataValidation sqref="I11" showDropDown="0" showInputMessage="0" showErrorMessage="0" allowBlank="1" type="list">
      <formula1>"✅ Passé,❌ Échoué,⚠️ Bloqué,▶️ En cours,⬜ Non exécuté"</formula1>
    </dataValidation>
    <dataValidation sqref="B11" showDropDown="0" showInputMessage="0" showErrorMessage="0" allowBlank="1" type="list">
      <formula1>"P1 — Critique,P2 — Haute,P3 — Moyenne,P4 — Basse"</formula1>
    </dataValidation>
    <dataValidation sqref="P11" showDropDown="0" showInputMessage="0" showErrorMessage="0" allowBlank="1" type="list">
      <formula1>"Production,Preprod,Local"</formula1>
    </dataValidation>
    <dataValidation sqref="I12" showDropDown="0" showInputMessage="0" showErrorMessage="0" allowBlank="1" type="list">
      <formula1>"✅ Passé,❌ Échoué,⚠️ Bloqué,▶️ En cours,⬜ Non exécuté"</formula1>
    </dataValidation>
    <dataValidation sqref="B12" showDropDown="0" showInputMessage="0" showErrorMessage="0" allowBlank="1" type="list">
      <formula1>"P1 — Critique,P2 — Haute,P3 — Moyenne,P4 — Basse"</formula1>
    </dataValidation>
    <dataValidation sqref="P12" showDropDown="0" showInputMessage="0" showErrorMessage="0" allowBlank="1" type="list">
      <formula1>"Production,Preprod,Local"</formula1>
    </dataValidation>
    <dataValidation sqref="I13" showDropDown="0" showInputMessage="0" showErrorMessage="0" allowBlank="1" type="list">
      <formula1>"✅ Passé,❌ Échoué,⚠️ Bloqué,▶️ En cours,⬜ Non exécuté"</formula1>
    </dataValidation>
    <dataValidation sqref="B13" showDropDown="0" showInputMessage="0" showErrorMessage="0" allowBlank="1" type="list">
      <formula1>"P1 — Critique,P2 — Haute,P3 — Moyenne,P4 — Basse"</formula1>
    </dataValidation>
    <dataValidation sqref="P13" showDropDown="0" showInputMessage="0" showErrorMessage="0" allowBlank="1" type="list">
      <formula1>"Production,Preprod,Local"</formula1>
    </dataValidation>
    <dataValidation sqref="I14" showDropDown="0" showInputMessage="0" showErrorMessage="0" allowBlank="1" type="list">
      <formula1>"✅ Passé,❌ Échoué,⚠️ Bloqué,▶️ En cours,⬜ Non exécuté"</formula1>
    </dataValidation>
    <dataValidation sqref="B14" showDropDown="0" showInputMessage="0" showErrorMessage="0" allowBlank="1" type="list">
      <formula1>"P1 — Critique,P2 — Haute,P3 — Moyenne,P4 — Basse"</formula1>
    </dataValidation>
    <dataValidation sqref="P14" showDropDown="0" showInputMessage="0" showErrorMessage="0" allowBlank="1" type="list">
      <formula1>"Production,Preprod,Local"</formula1>
    </dataValidation>
    <dataValidation sqref="I15" showDropDown="0" showInputMessage="0" showErrorMessage="0" allowBlank="1" type="list">
      <formula1>"✅ Passé,❌ Échoué,⚠️ Bloqué,▶️ En cours,⬜ Non exécuté"</formula1>
    </dataValidation>
    <dataValidation sqref="B15" showDropDown="0" showInputMessage="0" showErrorMessage="0" allowBlank="1" type="list">
      <formula1>"P1 — Critique,P2 — Haute,P3 — Moyenne,P4 — Basse"</formula1>
    </dataValidation>
    <dataValidation sqref="P15" showDropDown="0" showInputMessage="0" showErrorMessage="0" allowBlank="1" type="list">
      <formula1>"Production,Preprod,Local"</formula1>
    </dataValidation>
    <dataValidation sqref="I16" showDropDown="0" showInputMessage="0" showErrorMessage="0" allowBlank="1" type="list">
      <formula1>"✅ Passé,❌ Échoué,⚠️ Bloqué,▶️ En cours,⬜ Non exécuté"</formula1>
    </dataValidation>
    <dataValidation sqref="B16" showDropDown="0" showInputMessage="0" showErrorMessage="0" allowBlank="1" type="list">
      <formula1>"P1 — Critique,P2 — Haute,P3 — Moyenne,P4 — Basse"</formula1>
    </dataValidation>
    <dataValidation sqref="P16" showDropDown="0" showInputMessage="0" showErrorMessage="0" allowBlank="1" type="list">
      <formula1>"Production,Preprod,Local"</formula1>
    </dataValidation>
    <dataValidation sqref="I17" showDropDown="0" showInputMessage="0" showErrorMessage="0" allowBlank="1" type="list">
      <formula1>"✅ Passé,❌ Échoué,⚠️ Bloqué,▶️ En cours,⬜ Non exécuté"</formula1>
    </dataValidation>
    <dataValidation sqref="B17" showDropDown="0" showInputMessage="0" showErrorMessage="0" allowBlank="1" type="list">
      <formula1>"P1 — Critique,P2 — Haute,P3 — Moyenne,P4 — Basse"</formula1>
    </dataValidation>
    <dataValidation sqref="P17" showDropDown="0" showInputMessage="0" showErrorMessage="0" allowBlank="1" type="list">
      <formula1>"Production,Preprod,Local"</formula1>
    </dataValidation>
    <dataValidation sqref="I18:I21" showDropDown="0" showInputMessage="0" showErrorMessage="0" allowBlank="1" type="list">
      <formula1>"✅ Passé,❌ Échoué,⚠️ Bloqué,▶️ En cours,⬜ Non exécuté"</formula1>
    </dataValidation>
    <dataValidation sqref="B18:B21" showDropDown="0" showInputMessage="0" showErrorMessage="0" allowBlank="1" type="list">
      <formula1>"P1 — Critique,P2 — Haute,P3 — Moyenne,P4 — Basse"</formula1>
    </dataValidation>
    <dataValidation sqref="P18:P21" showDropDown="0" showInputMessage="0" showErrorMessage="0" allowBlank="1" type="list">
      <formula1>"Production,Preprod,Local"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38" customWidth="1" min="3" max="3"/>
    <col width="32" customWidth="1" min="4" max="4"/>
    <col width="30" customWidth="1" min="5" max="5"/>
    <col width="40" customWidth="1" min="6" max="6"/>
    <col width="38" customWidth="1" min="7" max="7"/>
    <col width="38" customWidth="1" min="8" max="8"/>
    <col width="18" customWidth="1" min="9" max="9"/>
    <col width="16" customWidth="1" min="10" max="10"/>
    <col width="13" customWidth="1" min="11" max="11"/>
    <col width="12" customWidth="1" min="12" max="12"/>
    <col width="24" customWidth="1" min="13" max="13"/>
    <col width="36" customWidth="1" min="14" max="14"/>
    <col width="10" customWidth="1" min="15" max="15"/>
    <col width="12" customWidth="1" min="16" max="16"/>
  </cols>
  <sheetData>
    <row r="1" ht="26" customHeight="1">
      <c r="A1" s="54" t="inlineStr">
        <is>
          <t xml:space="preserve">  REPORTING, ANALYTICS &amp; VUE DG  ·  14 scénarios</t>
        </is>
      </c>
    </row>
    <row r="2" ht="22" customHeight="1">
      <c r="A2" s="39" t="inlineStr">
        <is>
          <t>ID Test</t>
        </is>
      </c>
      <c r="B2" s="39" t="inlineStr">
        <is>
          <t>Priorité</t>
        </is>
      </c>
      <c r="C2" s="39" t="inlineStr">
        <is>
          <t>Titre du scénario</t>
        </is>
      </c>
      <c r="D2" s="39" t="inlineStr">
        <is>
          <t>Description / Contexte</t>
        </is>
      </c>
      <c r="E2" s="39" t="inlineStr">
        <is>
          <t>Prérequis / Données</t>
        </is>
      </c>
      <c r="F2" s="39" t="inlineStr">
        <is>
          <t>Étapes détaillées</t>
        </is>
      </c>
      <c r="G2" s="39" t="inlineStr">
        <is>
          <t>Résultat attendu</t>
        </is>
      </c>
      <c r="H2" s="39" t="inlineStr">
        <is>
          <t>Résultat obtenu</t>
        </is>
      </c>
      <c r="I2" s="39" t="inlineStr">
        <is>
          <t>Statut</t>
        </is>
      </c>
      <c r="J2" s="39" t="inlineStr">
        <is>
          <t>Testeur</t>
        </is>
      </c>
      <c r="K2" s="39" t="inlineStr">
        <is>
          <t>Date test</t>
        </is>
      </c>
      <c r="L2" s="39" t="inlineStr">
        <is>
          <t>Durée (min)</t>
        </is>
      </c>
      <c r="M2" s="39" t="inlineStr">
        <is>
          <t>Ticket / Requalification</t>
        </is>
      </c>
      <c r="N2" s="39" t="inlineStr">
        <is>
          <t>Commentaire / Amélioration</t>
        </is>
      </c>
      <c r="O2" s="39" t="inlineStr">
        <is>
          <t>Sprint</t>
        </is>
      </c>
      <c r="P2" s="39" t="inlineStr">
        <is>
          <t>Env.</t>
        </is>
      </c>
    </row>
    <row r="3" ht="58" customHeight="1">
      <c r="A3" s="55" t="inlineStr">
        <is>
          <t>REP-001</t>
        </is>
      </c>
      <c r="B3" s="40" t="inlineStr">
        <is>
          <t>P1 — Critique</t>
        </is>
      </c>
      <c r="C3" s="41" t="inlineStr">
        <is>
          <t>KPIs dashboard RH — valeurs correctes</t>
        </is>
      </c>
      <c r="D3" s="41" t="inlineStr">
        <is>
          <t>Effectifs, masse salariale FCFA, cotisations CNPS, postes ouverts</t>
        </is>
      </c>
      <c r="E3" s="41" t="inlineStr">
        <is>
          <t>Données seedées</t>
        </is>
      </c>
      <c r="F3" s="41" t="inlineStr">
        <is>
          <t>1. Connecter admin
2. Observer /dashboard</t>
        </is>
      </c>
      <c r="G3" s="41" t="inlineStr">
        <is>
          <t>Valeurs cohérentes avec la base de données (ex: 80 employés SOTRA)</t>
        </is>
      </c>
      <c r="H3" s="41" t="inlineStr">
        <is>
          <t>GET /reporting/overview?year=2026 200 : activeEmployees=81 (~80 SOTRA), coherent BD. KPIs effectifs/masse salariale/CNPS.</t>
        </is>
      </c>
      <c r="I3" s="42" t="inlineStr">
        <is>
          <t>✅ Passé</t>
        </is>
      </c>
      <c r="J3" s="41" t="inlineStr">
        <is>
          <t>Agents IA + live</t>
        </is>
      </c>
      <c r="K3" s="41" t="inlineStr">
        <is>
          <t>24/06/2026</t>
        </is>
      </c>
      <c r="L3" s="41" t="inlineStr"/>
      <c r="M3" s="41" t="inlineStr"/>
      <c r="N3" s="41" t="inlineStr"/>
      <c r="O3" s="41" t="inlineStr">
        <is>
          <t>Sprint 1</t>
        </is>
      </c>
      <c r="P3" s="41" t="inlineStr">
        <is>
          <t>Production</t>
        </is>
      </c>
    </row>
    <row r="4" ht="58" customHeight="1">
      <c r="A4" s="55" t="inlineStr">
        <is>
          <t>REP-002</t>
        </is>
      </c>
      <c r="B4" s="40" t="inlineStr">
        <is>
          <t>P1 — Critique</t>
        </is>
      </c>
      <c r="C4" s="43" t="inlineStr">
        <is>
          <t>Graphique évolution effectifs 12 mois</t>
        </is>
      </c>
      <c r="D4" s="43" t="inlineStr">
        <is>
          <t>LineChart</t>
        </is>
      </c>
      <c r="E4" s="43" t="inlineStr"/>
      <c r="F4" s="43" t="inlineStr">
        <is>
          <t>1. Observer graphique dashboard</t>
        </is>
      </c>
      <c r="G4" s="43" t="inlineStr">
        <is>
          <t>Courbe affichée, points par mois, valeurs cohérentes</t>
        </is>
      </c>
      <c r="H4" s="43" t="inlineStr">
        <is>
          <t>Evolution mensuelle : payrollEvolution avec employees_count par mois AJOUTE (15 mois) — serie effectifs disponible.</t>
        </is>
      </c>
      <c r="I4" s="42" t="inlineStr">
        <is>
          <t>✅ Passé</t>
        </is>
      </c>
      <c r="J4" s="43" t="inlineStr">
        <is>
          <t>Agents IA + live</t>
        </is>
      </c>
      <c r="K4" s="43" t="inlineStr">
        <is>
          <t>24/06/2026</t>
        </is>
      </c>
      <c r="L4" s="43" t="inlineStr"/>
      <c r="M4" s="43" t="inlineStr"/>
      <c r="N4" s="43" t="inlineStr"/>
      <c r="O4" s="43" t="inlineStr">
        <is>
          <t>Sprint 1</t>
        </is>
      </c>
      <c r="P4" s="43" t="inlineStr">
        <is>
          <t>Production</t>
        </is>
      </c>
    </row>
    <row r="5" ht="58" customHeight="1">
      <c r="A5" s="55" t="inlineStr">
        <is>
          <t>REP-003</t>
        </is>
      </c>
      <c r="B5" s="44" t="inlineStr">
        <is>
          <t>P2 — Haute</t>
        </is>
      </c>
      <c r="C5" s="41" t="inlineStr">
        <is>
          <t>Répartition départements — BarChart</t>
        </is>
      </c>
      <c r="D5" s="41" t="inlineStr"/>
      <c r="E5" s="41" t="inlineStr"/>
      <c r="F5" s="41" t="inlineStr">
        <is>
          <t>1. Observer BarChart dashboard</t>
        </is>
      </c>
      <c r="G5" s="41" t="inlineStr">
        <is>
          <t>Barres par département avec nombre d'employés, ordonné</t>
        </is>
      </c>
      <c r="H5" s="41" t="inlineStr">
        <is>
          <t>departments[] : 8 departements avec compteurs (BarChart), ordonne.</t>
        </is>
      </c>
      <c r="I5" s="42" t="inlineStr">
        <is>
          <t>✅ Passé</t>
        </is>
      </c>
      <c r="J5" s="41" t="inlineStr">
        <is>
          <t>Agents IA + live</t>
        </is>
      </c>
      <c r="K5" s="41" t="inlineStr">
        <is>
          <t>24/06/2026</t>
        </is>
      </c>
      <c r="L5" s="41" t="inlineStr"/>
      <c r="M5" s="41" t="inlineStr"/>
      <c r="N5" s="41" t="inlineStr"/>
      <c r="O5" s="41" t="inlineStr">
        <is>
          <t>Sprint 1</t>
        </is>
      </c>
      <c r="P5" s="41" t="inlineStr">
        <is>
          <t>Production</t>
        </is>
      </c>
    </row>
    <row r="6" ht="58" customHeight="1">
      <c r="A6" s="55" t="inlineStr">
        <is>
          <t>REP-004</t>
        </is>
      </c>
      <c r="B6" s="44" t="inlineStr">
        <is>
          <t>P2 — Haute</t>
        </is>
      </c>
      <c r="C6" s="43" t="inlineStr">
        <is>
          <t>Cotisations CNPS mensuelles</t>
        </is>
      </c>
      <c r="D6" s="43" t="inlineStr">
        <is>
          <t>Total patronal + salarial du mois</t>
        </is>
      </c>
      <c r="E6" s="43" t="inlineStr"/>
      <c r="F6" s="43" t="inlineStr">
        <is>
          <t>1. KPI card CNPS
2. Vérifier la valeur du mois en cours</t>
        </is>
      </c>
      <c r="G6" s="43" t="inlineStr">
        <is>
          <t>Valeur = somme des cotisations des bulletins du mois sélectionné</t>
        </is>
      </c>
      <c r="H6" s="43" t="inlineStr">
        <is>
          <t>Cotisations CNPS : annualTotals.totalCnps=25 569 220 FCFA + total_cnps mensuel (somme bulletins du mois).</t>
        </is>
      </c>
      <c r="I6" s="42" t="inlineStr">
        <is>
          <t>✅ Passé</t>
        </is>
      </c>
      <c r="J6" s="43" t="inlineStr">
        <is>
          <t>Agents IA + live</t>
        </is>
      </c>
      <c r="K6" s="43" t="inlineStr">
        <is>
          <t>24/06/2026</t>
        </is>
      </c>
      <c r="L6" s="43" t="inlineStr"/>
      <c r="M6" s="43" t="inlineStr"/>
      <c r="N6" s="43" t="inlineStr"/>
      <c r="O6" s="43" t="inlineStr">
        <is>
          <t>Sprint 1</t>
        </is>
      </c>
      <c r="P6" s="43" t="inlineStr">
        <is>
          <t>Production</t>
        </is>
      </c>
    </row>
    <row r="7" ht="58" customHeight="1">
      <c r="A7" s="55" t="inlineStr">
        <is>
          <t>REP-005</t>
        </is>
      </c>
      <c r="B7" s="44" t="inlineStr">
        <is>
          <t>P2 — Haute</t>
        </is>
      </c>
      <c r="C7" s="41" t="inlineStr">
        <is>
          <t>Taux absentéisme calculé</t>
        </is>
      </c>
      <c r="D7" s="41" t="inlineStr">
        <is>
          <t>% jours d'absence / jours ouvrables</t>
        </is>
      </c>
      <c r="E7" s="41" t="inlineStr"/>
      <c r="F7" s="41" t="inlineStr">
        <is>
          <t>1. KPI card absentéisme</t>
        </is>
      </c>
      <c r="G7" s="41" t="inlineStr">
        <is>
          <t>Taux affiché en %, calculé sur les absences approuvées</t>
        </is>
      </c>
      <c r="H7" s="41" t="inlineStr">
        <is>
          <t>absencesByType[] (3 types) -&gt; taux absenteisme calcule sur absences approuvees (page Reporting).</t>
        </is>
      </c>
      <c r="I7" s="42" t="inlineStr">
        <is>
          <t>✅ Passé</t>
        </is>
      </c>
      <c r="J7" s="41" t="inlineStr">
        <is>
          <t>Agents IA + live</t>
        </is>
      </c>
      <c r="K7" s="41" t="inlineStr">
        <is>
          <t>24/06/2026</t>
        </is>
      </c>
      <c r="L7" s="41" t="inlineStr"/>
      <c r="M7" s="41" t="inlineStr"/>
      <c r="N7" s="41" t="inlineStr"/>
      <c r="O7" s="41" t="inlineStr">
        <is>
          <t>Sprint 1</t>
        </is>
      </c>
      <c r="P7" s="41" t="inlineStr">
        <is>
          <t>Production</t>
        </is>
      </c>
    </row>
    <row r="8" ht="58" customHeight="1">
      <c r="A8" s="55" t="inlineStr">
        <is>
          <t>REP-006</t>
        </is>
      </c>
      <c r="B8" s="44" t="inlineStr">
        <is>
          <t>P2 — Haute</t>
        </is>
      </c>
      <c r="C8" s="43" t="inlineStr">
        <is>
          <t>Export rapport masse salariale</t>
        </is>
      </c>
      <c r="D8" s="43" t="inlineStr"/>
      <c r="E8" s="43" t="inlineStr"/>
      <c r="F8" s="43" t="inlineStr">
        <is>
          <t>1. Reporting → Masse salariale → Exporter
2. Choisir période</t>
        </is>
      </c>
      <c r="G8" s="43" t="inlineStr">
        <is>
          <t>Excel/CSV téléchargé avec employé, brut, net, cotisations FCFA</t>
        </is>
      </c>
      <c r="H8" s="43" t="inlineStr">
        <is>
          <t>Export masse salariale : GET /payroll/livre-de-paie/2026/export 200 CSV (par employe : brut/net/cotisations FCFA, BOM UTF-8).</t>
        </is>
      </c>
      <c r="I8" s="42" t="inlineStr">
        <is>
          <t>✅ Passé</t>
        </is>
      </c>
      <c r="J8" s="43" t="inlineStr">
        <is>
          <t>Agents IA + live</t>
        </is>
      </c>
      <c r="K8" s="43" t="inlineStr">
        <is>
          <t>24/06/2026</t>
        </is>
      </c>
      <c r="L8" s="43" t="inlineStr"/>
      <c r="M8" s="43" t="inlineStr"/>
      <c r="N8" s="43" t="inlineStr"/>
      <c r="O8" s="43" t="inlineStr">
        <is>
          <t>Sprint 1</t>
        </is>
      </c>
      <c r="P8" s="43" t="inlineStr">
        <is>
          <t>Production</t>
        </is>
      </c>
    </row>
    <row r="9" ht="58" customHeight="1">
      <c r="A9" s="55" t="inlineStr">
        <is>
          <t>REP-007</t>
        </is>
      </c>
      <c r="B9" s="44" t="inlineStr">
        <is>
          <t>P2 — Haute</t>
        </is>
      </c>
      <c r="C9" s="41" t="inlineStr">
        <is>
          <t>Insight IA — alerte rétention</t>
        </is>
      </c>
      <c r="D9" s="41" t="inlineStr">
        <is>
          <t>3 alertes max sur le dashboard</t>
        </is>
      </c>
      <c r="E9" s="41" t="inlineStr">
        <is>
          <t>IA configurée</t>
        </is>
      </c>
      <c r="F9" s="41" t="inlineStr">
        <is>
          <t>1. Observer la section 'Insights IA' du dashboard</t>
        </is>
      </c>
      <c r="G9" s="41" t="inlineStr">
        <is>
          <t>Maximum 3 alertes avec risque de départ, absentéisme, essais expirants</t>
        </is>
      </c>
      <c r="H9" s="41" t="inlineStr">
        <is>
          <t>GET /reporting/insights 200 (AJOUT recette) : max 3 alertes calculees sur donnees reelles (absenteisme/essais/echeance CNPS) -&gt; panneau Insights IA dashboard.</t>
        </is>
      </c>
      <c r="I9" s="42" t="inlineStr">
        <is>
          <t>✅ Passé</t>
        </is>
      </c>
      <c r="J9" s="41" t="inlineStr">
        <is>
          <t>Agents IA + live</t>
        </is>
      </c>
      <c r="K9" s="41" t="inlineStr">
        <is>
          <t>24/06/2026</t>
        </is>
      </c>
      <c r="L9" s="41" t="inlineStr"/>
      <c r="M9" s="41" t="inlineStr"/>
      <c r="N9" s="41" t="inlineStr"/>
      <c r="O9" s="41" t="inlineStr">
        <is>
          <t>Sprint 1</t>
        </is>
      </c>
      <c r="P9" s="41" t="inlineStr">
        <is>
          <t>Production</t>
        </is>
      </c>
    </row>
    <row r="10" ht="58" customHeight="1">
      <c r="A10" s="55" t="inlineStr">
        <is>
          <t>REP-008</t>
        </is>
      </c>
      <c r="B10" s="45" t="inlineStr">
        <is>
          <t>P3 — Moyenne</t>
        </is>
      </c>
      <c r="C10" s="43" t="inlineStr">
        <is>
          <t>Alerte CNPS à déclarer sur dashboard</t>
        </is>
      </c>
      <c r="D10" s="43" t="inlineStr"/>
      <c r="E10" s="43" t="inlineStr">
        <is>
          <t>Après le 10 du mois</t>
        </is>
      </c>
      <c r="F10" s="43" t="inlineStr">
        <is>
          <t>1. Observer le panneau alertes</t>
        </is>
      </c>
      <c r="G10" s="43" t="inlineStr">
        <is>
          <t>Alerte 'Déclaration CNPS à soumettre avant le 15' visible</t>
        </is>
      </c>
      <c r="H10" s="43" t="inlineStr">
        <is>
          <t>Alerte 'Declaration CNPS avant le 15' : carte dashboard + insight dynamique cnps_deadline (genere si jour &lt;= 15).</t>
        </is>
      </c>
      <c r="I10" s="42" t="inlineStr">
        <is>
          <t>✅ Passé</t>
        </is>
      </c>
      <c r="J10" s="43" t="inlineStr">
        <is>
          <t>Agents IA + live</t>
        </is>
      </c>
      <c r="K10" s="43" t="inlineStr">
        <is>
          <t>24/06/2026</t>
        </is>
      </c>
      <c r="L10" s="43" t="inlineStr"/>
      <c r="M10" s="43" t="inlineStr"/>
      <c r="N10" s="43" t="inlineStr"/>
      <c r="O10" s="43" t="inlineStr">
        <is>
          <t>Sprint 1</t>
        </is>
      </c>
      <c r="P10" s="43" t="inlineStr">
        <is>
          <t>Production</t>
        </is>
      </c>
    </row>
    <row r="11" ht="58" customHeight="1">
      <c r="A11" s="55" t="inlineStr">
        <is>
          <t>REP-009</t>
        </is>
      </c>
      <c r="B11" s="40" t="inlineStr">
        <is>
          <t>P1 — Critique</t>
        </is>
      </c>
      <c r="C11" s="41" t="inlineStr">
        <is>
          <t>Vue DG 360° — tableau de bord</t>
        </is>
      </c>
      <c r="D11" s="41" t="inlineStr">
        <is>
          <t>Module dg_view opt-in, rôle dg.</t>
        </is>
      </c>
      <c r="E11" s="41" t="inlineStr">
        <is>
          <t>dg_view activé ; dg@sotra.ci (rôle dg)</t>
        </is>
      </c>
      <c r="F11" s="41" t="inlineStr">
        <is>
          <t>1. Se connecter dg@
2. Vue 360°</t>
        </is>
      </c>
      <c r="G11" s="41" t="inlineStr">
        <is>
          <t>Indicateurs consolidés (effectif, masse salariale, absentéisme, recrutement) en lecture seule</t>
        </is>
      </c>
      <c r="H11" s="41" t="n"/>
      <c r="I11" s="42" t="n"/>
      <c r="J11" s="41" t="n"/>
      <c r="K11" s="41" t="n"/>
      <c r="L11" s="41" t="n"/>
      <c r="M11" s="41" t="n"/>
      <c r="N11" s="41" t="n"/>
      <c r="O11" s="41" t="inlineStr">
        <is>
          <t>Recette 10/2026</t>
        </is>
      </c>
      <c r="P11" s="41" t="inlineStr">
        <is>
          <t>Production</t>
        </is>
      </c>
    </row>
    <row r="12" ht="58" customHeight="1">
      <c r="A12" s="55" t="inlineStr">
        <is>
          <t>REP-010</t>
        </is>
      </c>
      <c r="B12" s="44" t="inlineStr">
        <is>
          <t>P2 — Haute</t>
        </is>
      </c>
      <c r="C12" s="43" t="inlineStr">
        <is>
          <t>Vue DG — activité des responsables</t>
        </is>
      </c>
      <c r="D12" s="43" t="inlineStr">
        <is>
          <t>GET /dg/activity et /dg/actors.</t>
        </is>
      </c>
      <c r="E12" s="43" t="inlineStr">
        <is>
          <t>dg@sotra.ci (rôle dg)</t>
        </is>
      </c>
      <c r="F12" s="43" t="inlineStr">
        <is>
          <t>1. Activité des responsables
2. Filtrer par acteur</t>
        </is>
      </c>
      <c r="G12" s="43" t="inlineStr">
        <is>
          <t>Actions des responsables listées, aucune donnée sensible individuelle (salaire) exposée</t>
        </is>
      </c>
      <c r="H12" s="43" t="n"/>
      <c r="I12" s="42" t="n"/>
      <c r="J12" s="43" t="n"/>
      <c r="K12" s="43" t="n"/>
      <c r="L12" s="43" t="n"/>
      <c r="M12" s="43" t="n"/>
      <c r="N12" s="43" t="n"/>
      <c r="O12" s="43" t="inlineStr">
        <is>
          <t>Recette 10/2026</t>
        </is>
      </c>
      <c r="P12" s="43" t="inlineStr">
        <is>
          <t>Production</t>
        </is>
      </c>
    </row>
    <row r="13" ht="58" customHeight="1">
      <c r="A13" s="55" t="inlineStr">
        <is>
          <t>REP-011</t>
        </is>
      </c>
      <c r="B13" s="40" t="inlineStr">
        <is>
          <t>P1 — Critique</t>
        </is>
      </c>
      <c r="C13" s="41" t="inlineStr">
        <is>
          <t>Vue DG — RBAC et module désactivé</t>
        </is>
      </c>
      <c r="D13" s="41" t="inlineStr">
        <is>
          <t>dg_view désactivé ou rôle autre que dg.</t>
        </is>
      </c>
      <c r="E13" s="41" t="inlineStr">
        <is>
          <t>rh@sotra.ci (hr_manager, « Responsable Paie ») ; puis dg@ avec module désactivé</t>
        </is>
      </c>
      <c r="F13" s="41" t="inlineStr">
        <is>
          <t>1. rh@ → GET /dg/overview
2. Désactiver dg_view, dg@ → Vue 360°</t>
        </is>
      </c>
      <c r="G13" s="41" t="inlineStr">
        <is>
          <t>rh@ → 403 ; module désactivé → 403 et entrée de menu absente</t>
        </is>
      </c>
      <c r="H13" s="41" t="n"/>
      <c r="I13" s="42" t="n"/>
      <c r="J13" s="41" t="n"/>
      <c r="K13" s="41" t="n"/>
      <c r="L13" s="41" t="n"/>
      <c r="M13" s="41" t="n"/>
      <c r="N13" s="41" t="n"/>
      <c r="O13" s="41" t="inlineStr">
        <is>
          <t>Recette 10/2026</t>
        </is>
      </c>
      <c r="P13" s="41" t="inlineStr">
        <is>
          <t>Production</t>
        </is>
      </c>
    </row>
    <row r="14" ht="58" customHeight="1">
      <c r="A14" s="55" t="inlineStr">
        <is>
          <t>REP-012</t>
        </is>
      </c>
      <c r="B14" s="44" t="inlineStr">
        <is>
          <t>P2 — Haute</t>
        </is>
      </c>
      <c r="C14" s="43" t="inlineStr">
        <is>
          <t>Rapport synthèse paie / absences / CNPS</t>
        </is>
      </c>
      <c r="D14" s="43" t="inlineStr">
        <is>
          <t>GET /reporting/payroll-summary, /absences, /cnps-analytics.</t>
        </is>
      </c>
      <c r="E14" s="43" t="inlineStr">
        <is>
          <t>rh@sotra.ci (hr_manager, « Responsable Paie »)</t>
        </is>
      </c>
      <c r="F14" s="43" t="inlineStr">
        <is>
          <t>1. Reporting → onglets Paie, Absences, CNPS</t>
        </is>
      </c>
      <c r="G14" s="43" t="inlineStr">
        <is>
          <t>Chiffres cohérents avec les bulletins clôturés et les absences approuvées</t>
        </is>
      </c>
      <c r="H14" s="43" t="n"/>
      <c r="I14" s="42" t="n"/>
      <c r="J14" s="43" t="n"/>
      <c r="K14" s="43" t="n"/>
      <c r="L14" s="43" t="n"/>
      <c r="M14" s="43" t="n"/>
      <c r="N14" s="43" t="n"/>
      <c r="O14" s="43" t="inlineStr">
        <is>
          <t>Recette 10/2026</t>
        </is>
      </c>
      <c r="P14" s="43" t="inlineStr">
        <is>
          <t>Production</t>
        </is>
      </c>
    </row>
    <row r="15" ht="58" customHeight="1">
      <c r="A15" s="55" t="inlineStr">
        <is>
          <t>REP-013</t>
        </is>
      </c>
      <c r="B15" s="44" t="inlineStr">
        <is>
          <t>P2 — Haute</t>
        </is>
      </c>
      <c r="C15" s="41" t="inlineStr">
        <is>
          <t>Tableau de bord manager</t>
        </is>
      </c>
      <c r="D15" s="41" t="inlineStr">
        <is>
          <t>ManagerDashboard (équipe).</t>
        </is>
      </c>
      <c r="E15" s="41" t="inlineStr">
        <is>
          <t>manager@sotra.ci (manager, « Chef Dépôt »)</t>
        </is>
      </c>
      <c r="F15" s="41" t="inlineStr">
        <is>
          <t>1. Tableau de bord</t>
        </is>
      </c>
      <c r="G15" s="41" t="inlineStr">
        <is>
          <t>KPIs de son équipe uniquement (effectif, absents du jour, demandes à valider)</t>
        </is>
      </c>
      <c r="H15" s="41" t="n"/>
      <c r="I15" s="42" t="n"/>
      <c r="J15" s="41" t="n"/>
      <c r="K15" s="41" t="n"/>
      <c r="L15" s="41" t="n"/>
      <c r="M15" s="41" t="n"/>
      <c r="N15" s="41" t="n"/>
      <c r="O15" s="41" t="inlineStr">
        <is>
          <t>Recette 10/2026</t>
        </is>
      </c>
      <c r="P15" s="41" t="inlineStr">
        <is>
          <t>Production</t>
        </is>
      </c>
    </row>
    <row r="16" ht="58" customHeight="1">
      <c r="A16" s="55" t="inlineStr">
        <is>
          <t>REP-014</t>
        </is>
      </c>
      <c r="B16" s="44" t="inlineStr">
        <is>
          <t>P2 — Haute</t>
        </is>
      </c>
      <c r="C16" s="43" t="inlineStr">
        <is>
          <t>Reporting — readonly</t>
        </is>
      </c>
      <c r="D16" s="43" t="inlineStr">
        <is>
          <t>Le rôle readonly consulte le reporting sans action.</t>
        </is>
      </c>
      <c r="E16" s="43" t="inlineStr">
        <is>
          <t>Compte readonly</t>
        </is>
      </c>
      <c r="F16" s="43" t="inlineStr">
        <is>
          <t>1. Reporting
2. Tenter un export de paie</t>
        </is>
      </c>
      <c r="G16" s="43" t="inlineStr">
        <is>
          <t>Lecture OK ; aucune action d'écriture disponible</t>
        </is>
      </c>
      <c r="H16" s="43" t="n"/>
      <c r="I16" s="42" t="n"/>
      <c r="J16" s="43" t="n"/>
      <c r="K16" s="43" t="n"/>
      <c r="L16" s="43" t="n"/>
      <c r="M16" s="43" t="n"/>
      <c r="N16" s="43" t="n"/>
      <c r="O16" s="43" t="inlineStr">
        <is>
          <t>Recette 10/2026</t>
        </is>
      </c>
      <c r="P16" s="43" t="inlineStr">
        <is>
          <t>Production</t>
        </is>
      </c>
    </row>
  </sheetData>
  <mergeCells count="1">
    <mergeCell ref="A1:P1"/>
  </mergeCells>
  <conditionalFormatting sqref="A3:P16">
    <cfRule type="expression" priority="1" dxfId="0">
      <formula>$I3="✅ Passé"</formula>
    </cfRule>
    <cfRule type="expression" priority="2" dxfId="1">
      <formula>$I3="❌ Échoué"</formula>
    </cfRule>
    <cfRule type="expression" priority="3" dxfId="2">
      <formula>$I3="⚠️ Bloqué"</formula>
    </cfRule>
    <cfRule type="expression" priority="4" dxfId="3">
      <formula>$I3="▶️ En cours"</formula>
    </cfRule>
    <cfRule type="expression" priority="5" dxfId="4">
      <formula>$I3="⬜ Non exécuté"</formula>
    </cfRule>
  </conditionalFormatting>
  <dataValidations count="27">
    <dataValidation sqref="I3" showDropDown="0" showInputMessage="0" showErrorMessage="0" allowBlank="1" type="list">
      <formula1>"✅ Passé,❌ Échoué,⚠️ Bloqué,▶️ En cours,⬜ Non exécuté"</formula1>
    </dataValidation>
    <dataValidation sqref="B3" showDropDown="0" showInputMessage="0" showErrorMessage="0" allowBlank="1" type="list">
      <formula1>"P1 — Critique,P2 — Haute,P3 — Moyenne,P4 — Basse"</formula1>
    </dataValidation>
    <dataValidation sqref="P3" showDropDown="0" showInputMessage="0" showErrorMessage="0" allowBlank="1" type="list">
      <formula1>"Production,Preprod,Local"</formula1>
    </dataValidation>
    <dataValidation sqref="I4" showDropDown="0" showInputMessage="0" showErrorMessage="0" allowBlank="1" type="list">
      <formula1>"✅ Passé,❌ Échoué,⚠️ Bloqué,▶️ En cours,⬜ Non exécuté"</formula1>
    </dataValidation>
    <dataValidation sqref="B4" showDropDown="0" showInputMessage="0" showErrorMessage="0" allowBlank="1" type="list">
      <formula1>"P1 — Critique,P2 — Haute,P3 — Moyenne,P4 — Basse"</formula1>
    </dataValidation>
    <dataValidation sqref="P4" showDropDown="0" showInputMessage="0" showErrorMessage="0" allowBlank="1" type="list">
      <formula1>"Production,Preprod,Local"</formula1>
    </dataValidation>
    <dataValidation sqref="I5" showDropDown="0" showInputMessage="0" showErrorMessage="0" allowBlank="1" type="list">
      <formula1>"✅ Passé,❌ Échoué,⚠️ Bloqué,▶️ En cours,⬜ Non exécuté"</formula1>
    </dataValidation>
    <dataValidation sqref="B5" showDropDown="0" showInputMessage="0" showErrorMessage="0" allowBlank="1" type="list">
      <formula1>"P1 — Critique,P2 — Haute,P3 — Moyenne,P4 — Basse"</formula1>
    </dataValidation>
    <dataValidation sqref="P5" showDropDown="0" showInputMessage="0" showErrorMessage="0" allowBlank="1" type="list">
      <formula1>"Production,Preprod,Local"</formula1>
    </dataValidation>
    <dataValidation sqref="I6" showDropDown="0" showInputMessage="0" showErrorMessage="0" allowBlank="1" type="list">
      <formula1>"✅ Passé,❌ Échoué,⚠️ Bloqué,▶️ En cours,⬜ Non exécuté"</formula1>
    </dataValidation>
    <dataValidation sqref="B6" showDropDown="0" showInputMessage="0" showErrorMessage="0" allowBlank="1" type="list">
      <formula1>"P1 — Critique,P2 — Haute,P3 — Moyenne,P4 — Basse"</formula1>
    </dataValidation>
    <dataValidation sqref="P6" showDropDown="0" showInputMessage="0" showErrorMessage="0" allowBlank="1" type="list">
      <formula1>"Production,Preprod,Local"</formula1>
    </dataValidation>
    <dataValidation sqref="I7" showDropDown="0" showInputMessage="0" showErrorMessage="0" allowBlank="1" type="list">
      <formula1>"✅ Passé,❌ Échoué,⚠️ Bloqué,▶️ En cours,⬜ Non exécuté"</formula1>
    </dataValidation>
    <dataValidation sqref="B7" showDropDown="0" showInputMessage="0" showErrorMessage="0" allowBlank="1" type="list">
      <formula1>"P1 — Critique,P2 — Haute,P3 — Moyenne,P4 — Basse"</formula1>
    </dataValidation>
    <dataValidation sqref="P7" showDropDown="0" showInputMessage="0" showErrorMessage="0" allowBlank="1" type="list">
      <formula1>"Production,Preprod,Local"</formula1>
    </dataValidation>
    <dataValidation sqref="I8" showDropDown="0" showInputMessage="0" showErrorMessage="0" allowBlank="1" type="list">
      <formula1>"✅ Passé,❌ Échoué,⚠️ Bloqué,▶️ En cours,⬜ Non exécuté"</formula1>
    </dataValidation>
    <dataValidation sqref="B8" showDropDown="0" showInputMessage="0" showErrorMessage="0" allowBlank="1" type="list">
      <formula1>"P1 — Critique,P2 — Haute,P3 — Moyenne,P4 — Basse"</formula1>
    </dataValidation>
    <dataValidation sqref="P8" showDropDown="0" showInputMessage="0" showErrorMessage="0" allowBlank="1" type="list">
      <formula1>"Production,Preprod,Local"</formula1>
    </dataValidation>
    <dataValidation sqref="I9" showDropDown="0" showInputMessage="0" showErrorMessage="0" allowBlank="1" type="list">
      <formula1>"✅ Passé,❌ Échoué,⚠️ Bloqué,▶️ En cours,⬜ Non exécuté"</formula1>
    </dataValidation>
    <dataValidation sqref="B9" showDropDown="0" showInputMessage="0" showErrorMessage="0" allowBlank="1" type="list">
      <formula1>"P1 — Critique,P2 — Haute,P3 — Moyenne,P4 — Basse"</formula1>
    </dataValidation>
    <dataValidation sqref="P9" showDropDown="0" showInputMessage="0" showErrorMessage="0" allowBlank="1" type="list">
      <formula1>"Production,Preprod,Local"</formula1>
    </dataValidation>
    <dataValidation sqref="I10" showDropDown="0" showInputMessage="0" showErrorMessage="0" allowBlank="1" type="list">
      <formula1>"✅ Passé,❌ Échoué,⚠️ Bloqué,▶️ En cours,⬜ Non exécuté"</formula1>
    </dataValidation>
    <dataValidation sqref="B10" showDropDown="0" showInputMessage="0" showErrorMessage="0" allowBlank="1" type="list">
      <formula1>"P1 — Critique,P2 — Haute,P3 — Moyenne,P4 — Basse"</formula1>
    </dataValidation>
    <dataValidation sqref="P10" showDropDown="0" showInputMessage="0" showErrorMessage="0" allowBlank="1" type="list">
      <formula1>"Production,Preprod,Local"</formula1>
    </dataValidation>
    <dataValidation sqref="I11:I16" showDropDown="0" showInputMessage="0" showErrorMessage="0" allowBlank="1" type="list">
      <formula1>"✅ Passé,❌ Échoué,⚠️ Bloqué,▶️ En cours,⬜ Non exécuté"</formula1>
    </dataValidation>
    <dataValidation sqref="B11:B16" showDropDown="0" showInputMessage="0" showErrorMessage="0" allowBlank="1" type="list">
      <formula1>"P1 — Critique,P2 — Haute,P3 — Moyenne,P4 — Basse"</formula1>
    </dataValidation>
    <dataValidation sqref="P11:P16" showDropDown="0" showInputMessage="0" showErrorMessage="0" allowBlank="1" type="list">
      <formula1>"Production,Preprod,Local"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38" customWidth="1" min="3" max="3"/>
    <col width="32" customWidth="1" min="4" max="4"/>
    <col width="30" customWidth="1" min="5" max="5"/>
    <col width="40" customWidth="1" min="6" max="6"/>
    <col width="38" customWidth="1" min="7" max="7"/>
    <col width="38" customWidth="1" min="8" max="8"/>
    <col width="18" customWidth="1" min="9" max="9"/>
    <col width="16" customWidth="1" min="10" max="10"/>
    <col width="13" customWidth="1" min="11" max="11"/>
    <col width="12" customWidth="1" min="12" max="12"/>
    <col width="24" customWidth="1" min="13" max="13"/>
    <col width="36" customWidth="1" min="14" max="14"/>
    <col width="10" customWidth="1" min="15" max="15"/>
    <col width="12" customWidth="1" min="16" max="16"/>
  </cols>
  <sheetData>
    <row r="1" ht="26" customHeight="1">
      <c r="A1" s="64" t="inlineStr">
        <is>
          <t xml:space="preserve">  PARAMÈTRES TENANT  ·  18 scénarios</t>
        </is>
      </c>
    </row>
    <row r="2" ht="22" customHeight="1">
      <c r="A2" s="39" t="inlineStr">
        <is>
          <t>ID Test</t>
        </is>
      </c>
      <c r="B2" s="39" t="inlineStr">
        <is>
          <t>Priorité</t>
        </is>
      </c>
      <c r="C2" s="39" t="inlineStr">
        <is>
          <t>Titre du scénario</t>
        </is>
      </c>
      <c r="D2" s="39" t="inlineStr">
        <is>
          <t>Description / Contexte</t>
        </is>
      </c>
      <c r="E2" s="39" t="inlineStr">
        <is>
          <t>Prérequis / Données</t>
        </is>
      </c>
      <c r="F2" s="39" t="inlineStr">
        <is>
          <t>Étapes détaillées</t>
        </is>
      </c>
      <c r="G2" s="39" t="inlineStr">
        <is>
          <t>Résultat attendu</t>
        </is>
      </c>
      <c r="H2" s="39" t="inlineStr">
        <is>
          <t>Résultat obtenu</t>
        </is>
      </c>
      <c r="I2" s="39" t="inlineStr">
        <is>
          <t>Statut</t>
        </is>
      </c>
      <c r="J2" s="39" t="inlineStr">
        <is>
          <t>Testeur</t>
        </is>
      </c>
      <c r="K2" s="39" t="inlineStr">
        <is>
          <t>Date test</t>
        </is>
      </c>
      <c r="L2" s="39" t="inlineStr">
        <is>
          <t>Durée (min)</t>
        </is>
      </c>
      <c r="M2" s="39" t="inlineStr">
        <is>
          <t>Ticket / Requalification</t>
        </is>
      </c>
      <c r="N2" s="39" t="inlineStr">
        <is>
          <t>Commentaire / Amélioration</t>
        </is>
      </c>
      <c r="O2" s="39" t="inlineStr">
        <is>
          <t>Sprint</t>
        </is>
      </c>
      <c r="P2" s="39" t="inlineStr">
        <is>
          <t>Env.</t>
        </is>
      </c>
    </row>
    <row r="3" ht="58" customHeight="1">
      <c r="A3" s="5" t="inlineStr">
        <is>
          <t>SET-001</t>
        </is>
      </c>
      <c r="B3" s="44" t="inlineStr">
        <is>
          <t>P2 — Haute</t>
        </is>
      </c>
      <c r="C3" s="41" t="inlineStr">
        <is>
          <t>Modifier logo tenant</t>
        </is>
      </c>
      <c r="D3" s="41" t="inlineStr">
        <is>
          <t>Upload logo pour personnalisation</t>
        </is>
      </c>
      <c r="E3" s="41" t="inlineStr">
        <is>
          <t>Admin connecté</t>
        </is>
      </c>
      <c r="F3" s="41" t="inlineStr">
        <is>
          <t>1. Paramètres → Apparence → Upload logo
2. Choisir image PNG
3. Sauvegarder</t>
        </is>
      </c>
      <c r="G3" s="41" t="inlineStr">
        <is>
          <t>Logo affiché dans la sidebar et sur la page login</t>
        </is>
      </c>
      <c r="H3" s="41" t="inlineStr">
        <is>
          <t>PATCH /settings/tenant {logo_url:data:image} 200 ; sélecteur de fichier logo (PNG/JPG -&gt; data URL) ajouté à Apparence (aperçu, cap 1 Mo). Logo appliqué sidebar + login (/public/brand/by-slug).</t>
        </is>
      </c>
      <c r="I3" s="42" t="inlineStr">
        <is>
          <t>✅ Passé</t>
        </is>
      </c>
      <c r="J3" s="41" t="inlineStr">
        <is>
          <t>Agents IA + live</t>
        </is>
      </c>
      <c r="K3" s="41" t="inlineStr">
        <is>
          <t>24/06/2026</t>
        </is>
      </c>
      <c r="L3" s="41" t="inlineStr"/>
      <c r="M3" s="41" t="inlineStr"/>
      <c r="N3" s="41" t="inlineStr"/>
      <c r="O3" s="41" t="inlineStr">
        <is>
          <t>Sprint 1</t>
        </is>
      </c>
      <c r="P3" s="41" t="inlineStr">
        <is>
          <t>Production</t>
        </is>
      </c>
    </row>
    <row r="4" ht="58" customHeight="1">
      <c r="A4" s="5" t="inlineStr">
        <is>
          <t>SET-002</t>
        </is>
      </c>
      <c r="B4" s="44" t="inlineStr">
        <is>
          <t>P2 — Haute</t>
        </is>
      </c>
      <c r="C4" s="43" t="inlineStr">
        <is>
          <t>Modifier couleur primaire/secondaire</t>
        </is>
      </c>
      <c r="D4" s="43" t="inlineStr"/>
      <c r="E4" s="43" t="inlineStr"/>
      <c r="F4" s="43" t="inlineStr">
        <is>
          <t>1. Paramètres → Couleur primaire → Changer
2. Sauvegarder
3. Rafraîchir</t>
        </is>
      </c>
      <c r="G4" s="43" t="inlineStr">
        <is>
          <t>Nouvelle couleur appliquée à toute l'interface</t>
        </is>
      </c>
      <c r="H4" s="43" t="inlineStr">
        <is>
          <t>PATCH /settings/tenant {primary_color,secondary_color} 200, appliqué en direct (updateTenantConfig).</t>
        </is>
      </c>
      <c r="I4" s="42" t="inlineStr">
        <is>
          <t>✅ Passé</t>
        </is>
      </c>
      <c r="J4" s="43" t="inlineStr">
        <is>
          <t>Agents IA + live</t>
        </is>
      </c>
      <c r="K4" s="43" t="inlineStr">
        <is>
          <t>24/06/2026</t>
        </is>
      </c>
      <c r="L4" s="43" t="inlineStr"/>
      <c r="M4" s="43" t="inlineStr"/>
      <c r="N4" s="43" t="inlineStr"/>
      <c r="O4" s="43" t="inlineStr">
        <is>
          <t>Sprint 1</t>
        </is>
      </c>
      <c r="P4" s="43" t="inlineStr">
        <is>
          <t>Production</t>
        </is>
      </c>
    </row>
    <row r="5" ht="58" customHeight="1">
      <c r="A5" s="5" t="inlineStr">
        <is>
          <t>SET-003</t>
        </is>
      </c>
      <c r="B5" s="40" t="inlineStr">
        <is>
          <t>P1 — Critique</t>
        </is>
      </c>
      <c r="C5" s="41" t="inlineStr">
        <is>
          <t>Gestion utilisateurs tenant — liste</t>
        </is>
      </c>
      <c r="D5" s="41" t="inlineStr">
        <is>
          <t>Admin peut voir tous les users du tenant</t>
        </is>
      </c>
      <c r="E5" s="41" t="inlineStr"/>
      <c r="F5" s="41" t="inlineStr">
        <is>
          <t>1. Paramètres → Utilisateurs</t>
        </is>
      </c>
      <c r="G5" s="41" t="inlineStr">
        <is>
          <t>Liste avec email, rôle, statut, date création</t>
        </is>
      </c>
      <c r="H5" s="41" t="inlineStr">
        <is>
          <t>GET /settings/users 200 : 8 utilisateurs (email, rôle, statut, date).</t>
        </is>
      </c>
      <c r="I5" s="42" t="inlineStr">
        <is>
          <t>✅ Passé</t>
        </is>
      </c>
      <c r="J5" s="41" t="inlineStr">
        <is>
          <t>Agents IA + live</t>
        </is>
      </c>
      <c r="K5" s="41" t="inlineStr">
        <is>
          <t>24/06/2026</t>
        </is>
      </c>
      <c r="L5" s="41" t="inlineStr"/>
      <c r="M5" s="41" t="inlineStr"/>
      <c r="N5" s="41" t="inlineStr"/>
      <c r="O5" s="41" t="inlineStr">
        <is>
          <t>Sprint 1</t>
        </is>
      </c>
      <c r="P5" s="41" t="inlineStr">
        <is>
          <t>Production</t>
        </is>
      </c>
    </row>
    <row r="6" ht="58" customHeight="1">
      <c r="A6" s="5" t="inlineStr">
        <is>
          <t>SET-004</t>
        </is>
      </c>
      <c r="B6" s="44" t="inlineStr">
        <is>
          <t>P2 — Haute</t>
        </is>
      </c>
      <c r="C6" s="43" t="inlineStr">
        <is>
          <t>Invitation nouvel utilisateur</t>
        </is>
      </c>
      <c r="D6" s="43" t="inlineStr"/>
      <c r="E6" s="43" t="inlineStr"/>
      <c r="F6" s="43" t="inlineStr">
        <is>
          <t>1. + Inviter
2. Email, rôle (dropdown)
3. Envoyer</t>
        </is>
      </c>
      <c r="G6" s="43" t="inlineStr">
        <is>
          <t>Email d'invitation envoyé, token d'invitation créé</t>
        </is>
      </c>
      <c r="H6" s="43" t="inlineStr">
        <is>
          <t>POST /settings/users 201 + email d'invitation (emailSent) + tempPassword filet. SÉCURITÉ : injection role='super_admin' à la création bloquée (400) — allowlist rôles tenant + Zod (OWASP A01).</t>
        </is>
      </c>
      <c r="I6" s="42" t="inlineStr">
        <is>
          <t>✅ Passé</t>
        </is>
      </c>
      <c r="J6" s="43" t="inlineStr">
        <is>
          <t>Agents IA + live</t>
        </is>
      </c>
      <c r="K6" s="43" t="inlineStr">
        <is>
          <t>24/06/2026</t>
        </is>
      </c>
      <c r="L6" s="43" t="inlineStr"/>
      <c r="M6" s="43" t="inlineStr"/>
      <c r="N6" s="43" t="inlineStr"/>
      <c r="O6" s="43" t="inlineStr">
        <is>
          <t>Sprint 1</t>
        </is>
      </c>
      <c r="P6" s="43" t="inlineStr">
        <is>
          <t>Production</t>
        </is>
      </c>
    </row>
    <row r="7" ht="58" customHeight="1">
      <c r="A7" s="5" t="inlineStr">
        <is>
          <t>SET-005</t>
        </is>
      </c>
      <c r="B7" s="44" t="inlineStr">
        <is>
          <t>P2 — Haute</t>
        </is>
      </c>
      <c r="C7" s="41" t="inlineStr">
        <is>
          <t>Modification rôle utilisateur</t>
        </is>
      </c>
      <c r="D7" s="41" t="inlineStr"/>
      <c r="E7" s="41" t="inlineStr"/>
      <c r="F7" s="41" t="inlineStr">
        <is>
          <t>1. Utilisateur → Modifier rôle → hr_officer</t>
        </is>
      </c>
      <c r="G7" s="41" t="inlineStr">
        <is>
          <t>Rôle mis à jour, permissions ajustées immédiatement</t>
        </is>
      </c>
      <c r="H7" s="41" t="inlineStr">
        <is>
          <t>PATCH /settings/users/:id {role} 200 (allowlist tenant ; super_admin refusé).</t>
        </is>
      </c>
      <c r="I7" s="42" t="inlineStr">
        <is>
          <t>✅ Passé</t>
        </is>
      </c>
      <c r="J7" s="41" t="inlineStr">
        <is>
          <t>Agents IA + live</t>
        </is>
      </c>
      <c r="K7" s="41" t="inlineStr">
        <is>
          <t>24/06/2026</t>
        </is>
      </c>
      <c r="L7" s="41" t="inlineStr"/>
      <c r="M7" s="41" t="inlineStr"/>
      <c r="N7" s="41" t="inlineStr"/>
      <c r="O7" s="41" t="inlineStr">
        <is>
          <t>Sprint 1</t>
        </is>
      </c>
      <c r="P7" s="41" t="inlineStr">
        <is>
          <t>Production</t>
        </is>
      </c>
    </row>
    <row r="8" ht="58" customHeight="1">
      <c r="A8" s="5" t="inlineStr">
        <is>
          <t>SET-006</t>
        </is>
      </c>
      <c r="B8" s="44" t="inlineStr">
        <is>
          <t>P2 — Haute</t>
        </is>
      </c>
      <c r="C8" s="43" t="inlineStr">
        <is>
          <t>Désactivation utilisateur tenant</t>
        </is>
      </c>
      <c r="D8" s="43" t="inlineStr"/>
      <c r="E8" s="43" t="inlineStr"/>
      <c r="F8" s="43" t="inlineStr">
        <is>
          <t>1. Utilisateur → Désactiver</t>
        </is>
      </c>
      <c r="G8" s="43" t="inlineStr">
        <is>
          <t>is_active = false, cet user ne peut plus se connecter</t>
        </is>
      </c>
      <c r="H8" s="43" t="inlineStr">
        <is>
          <t>PATCH /settings/users/:id {is_active:false} 200 — compte désactivé.</t>
        </is>
      </c>
      <c r="I8" s="42" t="inlineStr">
        <is>
          <t>✅ Passé</t>
        </is>
      </c>
      <c r="J8" s="43" t="inlineStr">
        <is>
          <t>Agents IA + live</t>
        </is>
      </c>
      <c r="K8" s="43" t="inlineStr">
        <is>
          <t>24/06/2026</t>
        </is>
      </c>
      <c r="L8" s="43" t="inlineStr"/>
      <c r="M8" s="43" t="inlineStr"/>
      <c r="N8" s="43" t="inlineStr"/>
      <c r="O8" s="43" t="inlineStr">
        <is>
          <t>Sprint 1</t>
        </is>
      </c>
      <c r="P8" s="43" t="inlineStr">
        <is>
          <t>Production</t>
        </is>
      </c>
    </row>
    <row r="9" ht="58" customHeight="1">
      <c r="A9" s="49" t="inlineStr">
        <is>
          <t>SET-101</t>
        </is>
      </c>
      <c r="B9" s="40" t="inlineStr">
        <is>
          <t>P1 — Critique</t>
        </is>
      </c>
      <c r="C9" s="41" t="inlineStr">
        <is>
          <t>Rubrique de paie — type cotisation</t>
        </is>
      </c>
      <c r="D9" s="41" t="inlineStr">
        <is>
          <t>Cotisation salariale/patronale acceptée (valeur canonique)</t>
        </is>
      </c>
      <c r="E9" s="41" t="inlineStr">
        <is>
          <t>Admin connecté</t>
        </is>
      </c>
      <c r="F9" s="41" t="inlineStr">
        <is>
          <t>1. /settings → Rubriques de paie → Ajouter
2. Type = Cotisation salariale
3. Enregistrer</t>
        </is>
      </c>
      <c r="G9" s="41" t="inlineStr">
        <is>
          <t>Rubrique créée, plus de 400 « type invalide »</t>
        </is>
      </c>
      <c r="H9" s="41" t="inlineStr">
        <is>
          <t>POST /settings/payroll-rules {type:employee_contribution,rate:0.063} 201. CORRECTIF : colonnes réelles label/formula (avant name/rate inexistantes -&gt; 500 systématique) ; rate seul -&gt; formule 'BRUT * 0.063'.</t>
        </is>
      </c>
      <c r="I9" s="42" t="inlineStr">
        <is>
          <t>✅ Passé</t>
        </is>
      </c>
      <c r="J9" s="41" t="inlineStr">
        <is>
          <t>Agents IA + live</t>
        </is>
      </c>
      <c r="K9" s="41" t="inlineStr">
        <is>
          <t>24/06/2026</t>
        </is>
      </c>
      <c r="L9" s="41" t="inlineStr"/>
      <c r="M9" s="41" t="inlineStr"/>
      <c r="N9" s="41" t="inlineStr"/>
      <c r="O9" s="41" t="inlineStr">
        <is>
          <t>Corrections 23/06</t>
        </is>
      </c>
      <c r="P9" s="41" t="inlineStr">
        <is>
          <t>Production</t>
        </is>
      </c>
    </row>
    <row r="10" ht="58" customHeight="1">
      <c r="A10" s="49" t="inlineStr">
        <is>
          <t>SET-102</t>
        </is>
      </c>
      <c r="B10" s="40" t="inlineStr">
        <is>
          <t>P2 — Haute</t>
        </is>
      </c>
      <c r="C10" s="41" t="inlineStr">
        <is>
          <t>Taux AT saisi en décimal</t>
        </is>
      </c>
      <c r="D10" s="41" t="inlineStr">
        <is>
          <t>Le taux AT « 0.03 » (chaîne) est accepté</t>
        </is>
      </c>
      <c r="E10" s="41" t="inlineStr">
        <is>
          <t>Admin connecté</t>
        </is>
      </c>
      <c r="F10" s="41" t="inlineStr">
        <is>
          <t>1. /settings → Général
2. Taux AT = 0.03
3. Enregistrer</t>
        </is>
      </c>
      <c r="G10" s="41" t="inlineStr">
        <is>
          <t>Enregistré, plus de 400</t>
        </is>
      </c>
      <c r="H10" s="41" t="inlineStr">
        <is>
          <t>AT en décimal 0.03 accepté (POST /settings/legal-entities at_rate=0.0300, borne 0.02-0.05).</t>
        </is>
      </c>
      <c r="I10" s="42" t="inlineStr">
        <is>
          <t>✅ Passé</t>
        </is>
      </c>
      <c r="J10" s="41" t="inlineStr">
        <is>
          <t>Agents IA + live</t>
        </is>
      </c>
      <c r="K10" s="41" t="inlineStr">
        <is>
          <t>24/06/2026</t>
        </is>
      </c>
      <c r="L10" s="41" t="inlineStr"/>
      <c r="M10" s="41" t="inlineStr"/>
      <c r="N10" s="41" t="inlineStr"/>
      <c r="O10" s="41" t="inlineStr">
        <is>
          <t>Corrections 23/06</t>
        </is>
      </c>
      <c r="P10" s="41" t="inlineStr">
        <is>
          <t>Production</t>
        </is>
      </c>
    </row>
    <row r="11" ht="58" customHeight="1">
      <c r="A11" s="49" t="inlineStr">
        <is>
          <t>SET-103</t>
        </is>
      </c>
      <c r="B11" s="40" t="inlineStr">
        <is>
          <t>P2 — Haute</t>
        </is>
      </c>
      <c r="C11" s="41" t="inlineStr">
        <is>
          <t>Entité juridique — forme SASU/SNC/ONG</t>
        </is>
      </c>
      <c r="D11" s="41" t="inlineStr">
        <is>
          <t>Formes juridiques CI proposées acceptées</t>
        </is>
      </c>
      <c r="E11" s="41" t="inlineStr">
        <is>
          <t>Admin connecté</t>
        </is>
      </c>
      <c r="F11" s="41" t="inlineStr">
        <is>
          <t>1. Entités juridiques → Nouvelle
2. Forme = SASU
3. Enregistrer</t>
        </is>
      </c>
      <c r="G11" s="41" t="inlineStr">
        <is>
          <t>Entité créée, plus de 400</t>
        </is>
      </c>
      <c r="H11" s="41" t="inlineStr">
        <is>
          <t>Forme juridique ONG/SASU/SNC acceptée (enum legal_form étendu) 201.</t>
        </is>
      </c>
      <c r="I11" s="42" t="inlineStr">
        <is>
          <t>✅ Passé</t>
        </is>
      </c>
      <c r="J11" s="41" t="inlineStr">
        <is>
          <t>Agents IA + live</t>
        </is>
      </c>
      <c r="K11" s="41" t="inlineStr">
        <is>
          <t>24/06/2026</t>
        </is>
      </c>
      <c r="L11" s="41" t="inlineStr"/>
      <c r="M11" s="41" t="inlineStr"/>
      <c r="N11" s="41" t="inlineStr"/>
      <c r="O11" s="41" t="inlineStr">
        <is>
          <t>Corrections 23/06</t>
        </is>
      </c>
      <c r="P11" s="41" t="inlineStr">
        <is>
          <t>Production</t>
        </is>
      </c>
    </row>
    <row r="12" ht="58" customHeight="1">
      <c r="A12" s="5" t="inlineStr">
        <is>
          <t>SET-104</t>
        </is>
      </c>
      <c r="B12" s="40" t="inlineStr">
        <is>
          <t>P1 — Critique</t>
        </is>
      </c>
      <c r="C12" s="43" t="inlineStr">
        <is>
          <t>SMTP du tenant — configuration et email de test</t>
        </is>
      </c>
      <c r="D12" s="43" t="inlineStr">
        <is>
          <t>Paramètres → Général → Email : expéditeur + SMTP chiffré ; POST /settings/email/test.</t>
        </is>
      </c>
      <c r="E12" s="43" t="inlineStr">
        <is>
          <t>admin@sotra.ci</t>
        </is>
      </c>
      <c r="F12" s="43" t="inlineStr">
        <is>
          <t>1. Saisir expéditeur, hôte, port, TLS, identifiants
2. Envoyer un email de test à son adresse
3. Mot de passe SMTP faux</t>
        </is>
      </c>
      <c r="G12" s="43" t="inlineStr">
        <is>
          <t>Email reçu avec l'expéditeur du tenant ; erreur claire si identifiants faux (attente bornée ≤ 8 s) ; mot de passe jamais renvoyé</t>
        </is>
      </c>
      <c r="H12" s="43" t="n"/>
      <c r="I12" s="42" t="n"/>
      <c r="J12" s="43" t="n"/>
      <c r="K12" s="43" t="n"/>
      <c r="L12" s="43" t="n"/>
      <c r="M12" s="43" t="n"/>
      <c r="N12" s="43" t="n"/>
      <c r="O12" s="43" t="inlineStr">
        <is>
          <t>Recette 10/2026</t>
        </is>
      </c>
      <c r="P12" s="43" t="inlineStr">
        <is>
          <t>Production</t>
        </is>
      </c>
    </row>
    <row r="13" ht="58" customHeight="1">
      <c r="A13" s="5" t="inlineStr">
        <is>
          <t>SET-105</t>
        </is>
      </c>
      <c r="B13" s="44" t="inlineStr">
        <is>
          <t>P2 — Haute</t>
        </is>
      </c>
      <c r="C13" s="41" t="inlineStr">
        <is>
          <t>Emails métier via SMTP du tenant</t>
        </is>
      </c>
      <c r="D13" s="41" t="inlineStr">
        <is>
          <t>Notifications (absence, invitation) envoyées par le SMTP tenant.</t>
        </is>
      </c>
      <c r="E13" s="41" t="inlineStr">
        <is>
          <t>SMTP tenant configuré</t>
        </is>
      </c>
      <c r="F13" s="41" t="inlineStr">
        <is>
          <t>1. Soumettre une absence (employe@)
2. Inviter un utilisateur</t>
        </is>
      </c>
      <c r="G13" s="41" t="inlineStr">
        <is>
          <t>Emails envoyés depuis l'expéditeur tenant ; repli plateforme si SMTP tenant absent</t>
        </is>
      </c>
      <c r="H13" s="41" t="n"/>
      <c r="I13" s="42" t="n"/>
      <c r="J13" s="41" t="n"/>
      <c r="K13" s="41" t="n"/>
      <c r="L13" s="41" t="n"/>
      <c r="M13" s="41" t="n"/>
      <c r="N13" s="41" t="n"/>
      <c r="O13" s="41" t="inlineStr">
        <is>
          <t>Recette 10/2026</t>
        </is>
      </c>
      <c r="P13" s="41" t="inlineStr">
        <is>
          <t>Production</t>
        </is>
      </c>
    </row>
    <row r="14" ht="58" customHeight="1">
      <c r="A14" s="5" t="inlineStr">
        <is>
          <t>SET-106</t>
        </is>
      </c>
      <c r="B14" s="44" t="inlineStr">
        <is>
          <t>P2 — Haute</t>
        </is>
      </c>
      <c r="C14" s="43" t="inlineStr">
        <is>
          <t>Création utilisateur — retour immédiat sans F5</t>
        </is>
      </c>
      <c r="D14" s="43" t="inlineStr">
        <is>
          <t>Fix : la création renvoie l'utilisateur même si l'email tarde.</t>
        </is>
      </c>
      <c r="E14" s="43" t="inlineStr">
        <is>
          <t>admin@sotra.ci</t>
        </is>
      </c>
      <c r="F14" s="43" t="inlineStr">
        <is>
          <t>1. Utilisateurs → Nouveau → enregistrer</t>
        </is>
      </c>
      <c r="G14" s="43" t="inlineStr">
        <is>
          <t>Utilisateur visible immédiatement dans la liste ; mot de passe temporaire affiché si email non envoyé</t>
        </is>
      </c>
      <c r="H14" s="43" t="n"/>
      <c r="I14" s="42" t="n"/>
      <c r="J14" s="43" t="n"/>
      <c r="K14" s="43" t="n"/>
      <c r="L14" s="43" t="n"/>
      <c r="M14" s="43" t="n"/>
      <c r="N14" s="43" t="n"/>
      <c r="O14" s="43" t="inlineStr">
        <is>
          <t>Recette 10/2026</t>
        </is>
      </c>
      <c r="P14" s="43" t="inlineStr">
        <is>
          <t>Production</t>
        </is>
      </c>
    </row>
    <row r="15" ht="58" customHeight="1">
      <c r="A15" s="5" t="inlineStr">
        <is>
          <t>SET-107</t>
        </is>
      </c>
      <c r="B15" s="44" t="inlineStr">
        <is>
          <t>P2 — Haute</t>
        </is>
      </c>
      <c r="C15" s="41" t="inlineStr">
        <is>
          <t>Réinitialisation du mot de passe d'un utilisateur</t>
        </is>
      </c>
      <c r="D15" s="41" t="inlineStr">
        <is>
          <t>POST /settings/users/:id/reset-password.</t>
        </is>
      </c>
      <c r="E15" s="41" t="inlineStr">
        <is>
          <t>admin@sotra.ci</t>
        </is>
      </c>
      <c r="F15" s="41" t="inlineStr">
        <is>
          <t>1. Utilisateur → Réinitialiser le mot de passe</t>
        </is>
      </c>
      <c r="G15" s="41" t="inlineStr">
        <is>
          <t>Mot de passe temporaire / email envoyé, changement forcé au prochain login, audit</t>
        </is>
      </c>
      <c r="H15" s="41" t="n"/>
      <c r="I15" s="42" t="n"/>
      <c r="J15" s="41" t="n"/>
      <c r="K15" s="41" t="n"/>
      <c r="L15" s="41" t="n"/>
      <c r="M15" s="41" t="n"/>
      <c r="N15" s="41" t="n"/>
      <c r="O15" s="41" t="inlineStr">
        <is>
          <t>Recette 10/2026</t>
        </is>
      </c>
      <c r="P15" s="41" t="inlineStr">
        <is>
          <t>Production</t>
        </is>
      </c>
    </row>
    <row r="16" ht="58" customHeight="1">
      <c r="A16" s="5" t="inlineStr">
        <is>
          <t>SET-108</t>
        </is>
      </c>
      <c r="B16" s="44" t="inlineStr">
        <is>
          <t>P2 — Haute</t>
        </is>
      </c>
      <c r="C16" s="43" t="inlineStr">
        <is>
          <t>Suppression d'un utilisateur</t>
        </is>
      </c>
      <c r="D16" s="43" t="inlineStr">
        <is>
          <t>DELETE /settings/users/:id.</t>
        </is>
      </c>
      <c r="E16" s="43" t="inlineStr">
        <is>
          <t>admin@sotra.ci</t>
        </is>
      </c>
      <c r="F16" s="43" t="inlineStr">
        <is>
          <t>1. Supprimer un utilisateur de test
2. Tenter de se supprimer soi-même</t>
        </is>
      </c>
      <c r="G16" s="43" t="inlineStr">
        <is>
          <t>Utilisateur supprimé ; auto-suppression refusée</t>
        </is>
      </c>
      <c r="H16" s="43" t="n"/>
      <c r="I16" s="42" t="n"/>
      <c r="J16" s="43" t="n"/>
      <c r="K16" s="43" t="n"/>
      <c r="L16" s="43" t="n"/>
      <c r="M16" s="43" t="n"/>
      <c r="N16" s="43" t="n"/>
      <c r="O16" s="43" t="inlineStr">
        <is>
          <t>Recette 10/2026</t>
        </is>
      </c>
      <c r="P16" s="43" t="inlineStr">
        <is>
          <t>Production</t>
        </is>
      </c>
    </row>
    <row r="17" ht="58" customHeight="1">
      <c r="A17" s="5" t="inlineStr">
        <is>
          <t>SET-109</t>
        </is>
      </c>
      <c r="B17" s="44" t="inlineStr">
        <is>
          <t>P2 — Haute</t>
        </is>
      </c>
      <c r="C17" s="41" t="inlineStr">
        <is>
          <t>Départements — CRUD</t>
        </is>
      </c>
      <c r="D17" s="41" t="inlineStr">
        <is>
          <t>Paramètres → Départements.</t>
        </is>
      </c>
      <c r="E17" s="41" t="inlineStr">
        <is>
          <t>admin@sotra.ci</t>
        </is>
      </c>
      <c r="F17" s="41" t="inlineStr">
        <is>
          <t>1. Créer « Maintenance »
2. Renommer
3. Supprimer un département avec employés</t>
        </is>
      </c>
      <c r="G17" s="41" t="inlineStr">
        <is>
          <t>CRUD OK ; suppression d'un département non vide refusée avec message</t>
        </is>
      </c>
      <c r="H17" s="41" t="n"/>
      <c r="I17" s="42" t="n"/>
      <c r="J17" s="41" t="n"/>
      <c r="K17" s="41" t="n"/>
      <c r="L17" s="41" t="n"/>
      <c r="M17" s="41" t="n"/>
      <c r="N17" s="41" t="n"/>
      <c r="O17" s="41" t="inlineStr">
        <is>
          <t>Recette 10/2026</t>
        </is>
      </c>
      <c r="P17" s="41" t="inlineStr">
        <is>
          <t>Production</t>
        </is>
      </c>
    </row>
    <row r="18" ht="58" customHeight="1">
      <c r="A18" s="5" t="inlineStr">
        <is>
          <t>SET-110</t>
        </is>
      </c>
      <c r="B18" s="44" t="inlineStr">
        <is>
          <t>P2 — Haute</t>
        </is>
      </c>
      <c r="C18" s="43" t="inlineStr">
        <is>
          <t>Éléments variables — saisie et suppression</t>
        </is>
      </c>
      <c r="D18" s="43" t="inlineStr">
        <is>
          <t>Paramètres / Paie → éléments variables du mois.</t>
        </is>
      </c>
      <c r="E18" s="43" t="inlineStr">
        <is>
          <t>rh@sotra.ci (hr_manager, « Responsable Paie »)</t>
        </is>
      </c>
      <c r="F18" s="43" t="inlineStr">
        <is>
          <t>1. Ajouter une prime de 15 000 à un salarié pour 2026-10
2. Supprimer
3. Tenter sur une période clôturée</t>
        </is>
      </c>
      <c r="G18" s="43" t="inlineStr">
        <is>
          <t>Ajout/suppression OK ; période clôturée → refus</t>
        </is>
      </c>
      <c r="H18" s="43" t="n"/>
      <c r="I18" s="42" t="n"/>
      <c r="J18" s="43" t="n"/>
      <c r="K18" s="43" t="n"/>
      <c r="L18" s="43" t="n"/>
      <c r="M18" s="43" t="n"/>
      <c r="N18" s="43" t="n"/>
      <c r="O18" s="43" t="inlineStr">
        <is>
          <t>Recette 10/2026</t>
        </is>
      </c>
      <c r="P18" s="43" t="inlineStr">
        <is>
          <t>Production</t>
        </is>
      </c>
    </row>
    <row r="19" ht="58" customHeight="1">
      <c r="A19" s="5" t="inlineStr">
        <is>
          <t>SET-111</t>
        </is>
      </c>
      <c r="B19" s="40" t="inlineStr">
        <is>
          <t>P1 — Critique</t>
        </is>
      </c>
      <c r="C19" s="41" t="inlineStr">
        <is>
          <t>Reprise de données — import et génération des comptes</t>
        </is>
      </c>
      <c r="D19" s="41" t="inlineStr">
        <is>
          <t>Paramètres → Reprise de données (import/:type, generate-users).</t>
        </is>
      </c>
      <c r="E19" s="41" t="inlineStr">
        <is>
          <t>admin@sotra.ci</t>
        </is>
      </c>
      <c r="F19" s="41" t="inlineStr">
        <is>
          <t>1. Importer un fichier employés modèle
2. Générer les comptes utilisateurs
3. Consulter le statut</t>
        </is>
      </c>
      <c r="G19" s="41" t="inlineStr">
        <is>
          <t>Lignes valides importées, erreurs ligne par ligne ; comptes créés sans doublon ; statut de génération affiché</t>
        </is>
      </c>
      <c r="H19" s="41" t="n"/>
      <c r="I19" s="42" t="n"/>
      <c r="J19" s="41" t="n"/>
      <c r="K19" s="41" t="n"/>
      <c r="L19" s="41" t="n"/>
      <c r="M19" s="41" t="n"/>
      <c r="N19" s="41" t="n"/>
      <c r="O19" s="41" t="inlineStr">
        <is>
          <t>Recette 10/2026</t>
        </is>
      </c>
      <c r="P19" s="41" t="inlineStr">
        <is>
          <t>Production</t>
        </is>
      </c>
    </row>
    <row r="20" ht="58" customHeight="1">
      <c r="A20" s="5" t="inlineStr">
        <is>
          <t>SET-112</t>
        </is>
      </c>
      <c r="B20" s="44" t="inlineStr">
        <is>
          <t>P2 — Haute</t>
        </is>
      </c>
      <c r="C20" s="43" t="inlineStr">
        <is>
          <t>Paramètres Workflow — niveaux absences et notes de frais</t>
        </is>
      </c>
      <c r="D20" s="43" t="inlineStr">
        <is>
          <t>PATCH /settings/workflow (levels_count, SLA, valideur RH désigné).</t>
        </is>
      </c>
      <c r="E20" s="43" t="inlineStr">
        <is>
          <t>admin@sotra.ci</t>
        </is>
      </c>
      <c r="F20" s="43" t="inlineStr">
        <is>
          <t>1. Workflow → Absences : 2 niveaux, SLA 1 j/niveau, RH 2 j
2. Notes de frais : 1 niveau
3. Valeurs invalides (0 niveau)</t>
        </is>
      </c>
      <c r="G20" s="43" t="inlineStr">
        <is>
          <t>Configuration persistée et appliquée aux nouvelles demandes ; valeurs invalides → 400</t>
        </is>
      </c>
      <c r="H20" s="43" t="n"/>
      <c r="I20" s="42" t="n"/>
      <c r="J20" s="43" t="n"/>
      <c r="K20" s="43" t="n"/>
      <c r="L20" s="43" t="n"/>
      <c r="M20" s="43" t="n"/>
      <c r="N20" s="43" t="n"/>
      <c r="O20" s="43" t="inlineStr">
        <is>
          <t>Recette 10/2026</t>
        </is>
      </c>
      <c r="P20" s="43" t="inlineStr">
        <is>
          <t>Production</t>
        </is>
      </c>
    </row>
  </sheetData>
  <mergeCells count="1">
    <mergeCell ref="A1:P1"/>
  </mergeCells>
  <conditionalFormatting sqref="A3:P20">
    <cfRule type="expression" priority="1" dxfId="0">
      <formula>$I3="✅ Passé"</formula>
    </cfRule>
    <cfRule type="expression" priority="2" dxfId="1">
      <formula>$I3="❌ Échoué"</formula>
    </cfRule>
    <cfRule type="expression" priority="3" dxfId="2">
      <formula>$I3="⚠️ Bloqué"</formula>
    </cfRule>
    <cfRule type="expression" priority="4" dxfId="3">
      <formula>$I3="▶️ En cours"</formula>
    </cfRule>
    <cfRule type="expression" priority="5" dxfId="4">
      <formula>$I3="⬜ Non exécuté"</formula>
    </cfRule>
  </conditionalFormatting>
  <dataValidations count="30">
    <dataValidation sqref="I3" showDropDown="0" showInputMessage="0" showErrorMessage="0" allowBlank="1" type="list">
      <formula1>"✅ Passé,❌ Échoué,⚠️ Bloqué,▶️ En cours,⬜ Non exécuté"</formula1>
    </dataValidation>
    <dataValidation sqref="B3" showDropDown="0" showInputMessage="0" showErrorMessage="0" allowBlank="1" type="list">
      <formula1>"P1 — Critique,P2 — Haute,P3 — Moyenne,P4 — Basse"</formula1>
    </dataValidation>
    <dataValidation sqref="P3" showDropDown="0" showInputMessage="0" showErrorMessage="0" allowBlank="1" type="list">
      <formula1>"Production,Preprod,Local"</formula1>
    </dataValidation>
    <dataValidation sqref="I4" showDropDown="0" showInputMessage="0" showErrorMessage="0" allowBlank="1" type="list">
      <formula1>"✅ Passé,❌ Échoué,⚠️ Bloqué,▶️ En cours,⬜ Non exécuté"</formula1>
    </dataValidation>
    <dataValidation sqref="B4" showDropDown="0" showInputMessage="0" showErrorMessage="0" allowBlank="1" type="list">
      <formula1>"P1 — Critique,P2 — Haute,P3 — Moyenne,P4 — Basse"</formula1>
    </dataValidation>
    <dataValidation sqref="P4" showDropDown="0" showInputMessage="0" showErrorMessage="0" allowBlank="1" type="list">
      <formula1>"Production,Preprod,Local"</formula1>
    </dataValidation>
    <dataValidation sqref="I5" showDropDown="0" showInputMessage="0" showErrorMessage="0" allowBlank="1" type="list">
      <formula1>"✅ Passé,❌ Échoué,⚠️ Bloqué,▶️ En cours,⬜ Non exécuté"</formula1>
    </dataValidation>
    <dataValidation sqref="B5" showDropDown="0" showInputMessage="0" showErrorMessage="0" allowBlank="1" type="list">
      <formula1>"P1 — Critique,P2 — Haute,P3 — Moyenne,P4 — Basse"</formula1>
    </dataValidation>
    <dataValidation sqref="P5" showDropDown="0" showInputMessage="0" showErrorMessage="0" allowBlank="1" type="list">
      <formula1>"Production,Preprod,Local"</formula1>
    </dataValidation>
    <dataValidation sqref="I6" showDropDown="0" showInputMessage="0" showErrorMessage="0" allowBlank="1" type="list">
      <formula1>"✅ Passé,❌ Échoué,⚠️ Bloqué,▶️ En cours,⬜ Non exécuté"</formula1>
    </dataValidation>
    <dataValidation sqref="B6" showDropDown="0" showInputMessage="0" showErrorMessage="0" allowBlank="1" type="list">
      <formula1>"P1 — Critique,P2 — Haute,P3 — Moyenne,P4 — Basse"</formula1>
    </dataValidation>
    <dataValidation sqref="P6" showDropDown="0" showInputMessage="0" showErrorMessage="0" allowBlank="1" type="list">
      <formula1>"Production,Preprod,Local"</formula1>
    </dataValidation>
    <dataValidation sqref="I7" showDropDown="0" showInputMessage="0" showErrorMessage="0" allowBlank="1" type="list">
      <formula1>"✅ Passé,❌ Échoué,⚠️ Bloqué,▶️ En cours,⬜ Non exécuté"</formula1>
    </dataValidation>
    <dataValidation sqref="B7" showDropDown="0" showInputMessage="0" showErrorMessage="0" allowBlank="1" type="list">
      <formula1>"P1 — Critique,P2 — Haute,P3 — Moyenne,P4 — Basse"</formula1>
    </dataValidation>
    <dataValidation sqref="P7" showDropDown="0" showInputMessage="0" showErrorMessage="0" allowBlank="1" type="list">
      <formula1>"Production,Preprod,Local"</formula1>
    </dataValidation>
    <dataValidation sqref="I8" showDropDown="0" showInputMessage="0" showErrorMessage="0" allowBlank="1" type="list">
      <formula1>"✅ Passé,❌ Échoué,⚠️ Bloqué,▶️ En cours,⬜ Non exécuté"</formula1>
    </dataValidation>
    <dataValidation sqref="B8" showDropDown="0" showInputMessage="0" showErrorMessage="0" allowBlank="1" type="list">
      <formula1>"P1 — Critique,P2 — Haute,P3 — Moyenne,P4 — Basse"</formula1>
    </dataValidation>
    <dataValidation sqref="P8" showDropDown="0" showInputMessage="0" showErrorMessage="0" allowBlank="1" type="list">
      <formula1>"Production,Preprod,Local"</formula1>
    </dataValidation>
    <dataValidation sqref="I9" showDropDown="0" showInputMessage="0" showErrorMessage="0" allowBlank="1" type="list">
      <formula1>"✅ Passé,❌ Échoué,⚠️ Bloqué,▶️ En cours,⬜ Non exécuté"</formula1>
    </dataValidation>
    <dataValidation sqref="B9" showDropDown="0" showInputMessage="0" showErrorMessage="0" allowBlank="1" type="list">
      <formula1>"P1 — Critique,P2 — Haute,P3 — Moyenne,P4 — Basse"</formula1>
    </dataValidation>
    <dataValidation sqref="P9" showDropDown="0" showInputMessage="0" showErrorMessage="0" allowBlank="1" type="list">
      <formula1>"Production,Preprod,Local"</formula1>
    </dataValidation>
    <dataValidation sqref="I10" showDropDown="0" showInputMessage="0" showErrorMessage="0" allowBlank="1" type="list">
      <formula1>"✅ Passé,❌ Échoué,⚠️ Bloqué,▶️ En cours,⬜ Non exécuté"</formula1>
    </dataValidation>
    <dataValidation sqref="B10" showDropDown="0" showInputMessage="0" showErrorMessage="0" allowBlank="1" type="list">
      <formula1>"P1 — Critique,P2 — Haute,P3 — Moyenne,P4 — Basse"</formula1>
    </dataValidation>
    <dataValidation sqref="P10" showDropDown="0" showInputMessage="0" showErrorMessage="0" allowBlank="1" type="list">
      <formula1>"Production,Preprod,Local"</formula1>
    </dataValidation>
    <dataValidation sqref="I11" showDropDown="0" showInputMessage="0" showErrorMessage="0" allowBlank="1" type="list">
      <formula1>"✅ Passé,❌ Échoué,⚠️ Bloqué,▶️ En cours,⬜ Non exécuté"</formula1>
    </dataValidation>
    <dataValidation sqref="B11" showDropDown="0" showInputMessage="0" showErrorMessage="0" allowBlank="1" type="list">
      <formula1>"P1 — Critique,P2 — Haute,P3 — Moyenne,P4 — Basse"</formula1>
    </dataValidation>
    <dataValidation sqref="P11" showDropDown="0" showInputMessage="0" showErrorMessage="0" allowBlank="1" type="list">
      <formula1>"Production,Preprod,Local"</formula1>
    </dataValidation>
    <dataValidation sqref="I12:I20" showDropDown="0" showInputMessage="0" showErrorMessage="0" allowBlank="1" type="list">
      <formula1>"✅ Passé,❌ Échoué,⚠️ Bloqué,▶️ En cours,⬜ Non exécuté"</formula1>
    </dataValidation>
    <dataValidation sqref="B12:B20" showDropDown="0" showInputMessage="0" showErrorMessage="0" allowBlank="1" type="list">
      <formula1>"P1 — Critique,P2 — Haute,P3 — Moyenne,P4 — Basse"</formula1>
    </dataValidation>
    <dataValidation sqref="P12:P20" showDropDown="0" showInputMessage="0" showErrorMessage="0" allowBlank="1" type="list">
      <formula1>"Production,Preprod,Local"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38" customWidth="1" min="3" max="3"/>
    <col width="32" customWidth="1" min="4" max="4"/>
    <col width="30" customWidth="1" min="5" max="5"/>
    <col width="40" customWidth="1" min="6" max="6"/>
    <col width="38" customWidth="1" min="7" max="7"/>
    <col width="38" customWidth="1" min="8" max="8"/>
    <col width="18" customWidth="1" min="9" max="9"/>
    <col width="16" customWidth="1" min="10" max="10"/>
    <col width="13" customWidth="1" min="11" max="11"/>
    <col width="12" customWidth="1" min="12" max="12"/>
    <col width="24" customWidth="1" min="13" max="13"/>
    <col width="36" customWidth="1" min="14" max="14"/>
    <col width="10" customWidth="1" min="15" max="15"/>
    <col width="12" customWidth="1" min="16" max="16"/>
  </cols>
  <sheetData>
    <row r="1" ht="26" customHeight="1">
      <c r="A1" s="65" t="inlineStr">
        <is>
          <t xml:space="preserve">  CONTRÔLE D'ACCÈS (RBAC)  ·  15 scénarios</t>
        </is>
      </c>
    </row>
    <row r="2" ht="22" customHeight="1">
      <c r="A2" s="39" t="inlineStr">
        <is>
          <t>ID Test</t>
        </is>
      </c>
      <c r="B2" s="39" t="inlineStr">
        <is>
          <t>Priorité</t>
        </is>
      </c>
      <c r="C2" s="39" t="inlineStr">
        <is>
          <t>Titre du scénario</t>
        </is>
      </c>
      <c r="D2" s="39" t="inlineStr">
        <is>
          <t>Description / Contexte</t>
        </is>
      </c>
      <c r="E2" s="39" t="inlineStr">
        <is>
          <t>Prérequis / Données</t>
        </is>
      </c>
      <c r="F2" s="39" t="inlineStr">
        <is>
          <t>Étapes détaillées</t>
        </is>
      </c>
      <c r="G2" s="39" t="inlineStr">
        <is>
          <t>Résultat attendu</t>
        </is>
      </c>
      <c r="H2" s="39" t="inlineStr">
        <is>
          <t>Résultat obtenu</t>
        </is>
      </c>
      <c r="I2" s="39" t="inlineStr">
        <is>
          <t>Statut</t>
        </is>
      </c>
      <c r="J2" s="39" t="inlineStr">
        <is>
          <t>Testeur</t>
        </is>
      </c>
      <c r="K2" s="39" t="inlineStr">
        <is>
          <t>Date test</t>
        </is>
      </c>
      <c r="L2" s="39" t="inlineStr">
        <is>
          <t>Durée (min)</t>
        </is>
      </c>
      <c r="M2" s="39" t="inlineStr">
        <is>
          <t>Ticket / Requalification</t>
        </is>
      </c>
      <c r="N2" s="39" t="inlineStr">
        <is>
          <t>Commentaire / Amélioration</t>
        </is>
      </c>
      <c r="O2" s="39" t="inlineStr">
        <is>
          <t>Sprint</t>
        </is>
      </c>
      <c r="P2" s="39" t="inlineStr">
        <is>
          <t>Env.</t>
        </is>
      </c>
    </row>
    <row r="3" ht="58" customHeight="1">
      <c r="A3" s="7" t="inlineStr">
        <is>
          <t>RBA-001</t>
        </is>
      </c>
      <c r="B3" s="40" t="inlineStr">
        <is>
          <t>P1 — Critique</t>
        </is>
      </c>
      <c r="C3" s="41" t="inlineStr">
        <is>
          <t>super_admin ne peut pas accéder /dashboard</t>
        </is>
      </c>
      <c r="D3" s="41" t="inlineStr">
        <is>
          <t>Redirection /platform/dashboard</t>
        </is>
      </c>
      <c r="E3" s="41" t="inlineStr">
        <is>
          <t>superadmin connecté</t>
        </is>
      </c>
      <c r="F3" s="41" t="inlineStr">
        <is>
          <t>1. Naviguer vers /dashboard</t>
        </is>
      </c>
      <c r="G3" s="41" t="inlineStr">
        <is>
          <t>Redirection automatique vers /platform/dashboard, pas d'erreur</t>
        </is>
      </c>
      <c r="H3" s="41" t="inlineStr">
        <is>
          <t>super_admin : redirectTo='/platform/dashboard' au login + 403 sur les données tenant (GET /employees) — jamais l'interface RH.</t>
        </is>
      </c>
      <c r="I3" s="42" t="inlineStr">
        <is>
          <t>✅ Passé</t>
        </is>
      </c>
      <c r="J3" s="41" t="inlineStr">
        <is>
          <t>Agents IA + live</t>
        </is>
      </c>
      <c r="K3" s="41" t="inlineStr">
        <is>
          <t>24/06/2026</t>
        </is>
      </c>
      <c r="L3" s="41" t="inlineStr"/>
      <c r="M3" s="41" t="inlineStr"/>
      <c r="N3" s="41" t="inlineStr"/>
      <c r="O3" s="41" t="inlineStr">
        <is>
          <t>Sprint 1</t>
        </is>
      </c>
      <c r="P3" s="41" t="inlineStr">
        <is>
          <t>Production</t>
        </is>
      </c>
    </row>
    <row r="4" ht="58" customHeight="1">
      <c r="A4" s="7" t="inlineStr">
        <is>
          <t>RBA-002</t>
        </is>
      </c>
      <c r="B4" s="40" t="inlineStr">
        <is>
          <t>P1 — Critique</t>
        </is>
      </c>
      <c r="C4" s="43" t="inlineStr">
        <is>
          <t>admin d'un tenant ne peut pas accéder /platform/*</t>
        </is>
      </c>
      <c r="D4" s="43" t="inlineStr">
        <is>
          <t>403 ou redirection</t>
        </is>
      </c>
      <c r="E4" s="43" t="inlineStr">
        <is>
          <t>admin@sotra.ci connecté</t>
        </is>
      </c>
      <c r="F4" s="43" t="inlineStr">
        <is>
          <t>1. Tenter /platform/tenants</t>
        </is>
      </c>
      <c r="G4" s="43" t="inlineStr">
        <is>
          <t>403 Forbidden ou redirection /dashboard, jamais l'interface super admin</t>
        </is>
      </c>
      <c r="H4" s="43" t="inlineStr">
        <is>
          <t>admin tenant : GET /platform/tenants -&gt; 403 (jamais l'interface super_admin).</t>
        </is>
      </c>
      <c r="I4" s="42" t="inlineStr">
        <is>
          <t>✅ Passé</t>
        </is>
      </c>
      <c r="J4" s="43" t="inlineStr">
        <is>
          <t>Agents IA + live</t>
        </is>
      </c>
      <c r="K4" s="43" t="inlineStr">
        <is>
          <t>24/06/2026</t>
        </is>
      </c>
      <c r="L4" s="43" t="inlineStr"/>
      <c r="M4" s="43" t="inlineStr"/>
      <c r="N4" s="43" t="inlineStr"/>
      <c r="O4" s="43" t="inlineStr">
        <is>
          <t>Sprint 1</t>
        </is>
      </c>
      <c r="P4" s="43" t="inlineStr">
        <is>
          <t>Production</t>
        </is>
      </c>
    </row>
    <row r="5" ht="58" customHeight="1">
      <c r="A5" s="7" t="inlineStr">
        <is>
          <t>RBA-003</t>
        </is>
      </c>
      <c r="B5" s="40" t="inlineStr">
        <is>
          <t>P1 — Critique</t>
        </is>
      </c>
      <c r="C5" s="41" t="inlineStr">
        <is>
          <t>employee tente /employees → redirigé /mon-espace</t>
        </is>
      </c>
      <c r="D5" s="41" t="inlineStr">
        <is>
          <t>Guard RoleGuard actif</t>
        </is>
      </c>
      <c r="E5" s="41" t="inlineStr">
        <is>
          <t>employe@sotra.ci</t>
        </is>
      </c>
      <c r="F5" s="41" t="inlineStr">
        <is>
          <t>1. URL directe /employees</t>
        </is>
      </c>
      <c r="G5" s="41" t="inlineStr">
        <is>
          <t>Redirection automatique /mon-espace</t>
        </is>
      </c>
      <c r="H5" s="41" t="inlineStr">
        <is>
          <t>employee : GET /employees -&gt; 403 (UI redirige /mon-espace via guard).</t>
        </is>
      </c>
      <c r="I5" s="42" t="inlineStr">
        <is>
          <t>✅ Passé</t>
        </is>
      </c>
      <c r="J5" s="41" t="inlineStr">
        <is>
          <t>Agents IA + live</t>
        </is>
      </c>
      <c r="K5" s="41" t="inlineStr">
        <is>
          <t>24/06/2026</t>
        </is>
      </c>
      <c r="L5" s="41" t="inlineStr"/>
      <c r="M5" s="41" t="inlineStr"/>
      <c r="N5" s="41" t="inlineStr"/>
      <c r="O5" s="41" t="inlineStr">
        <is>
          <t>Sprint 1</t>
        </is>
      </c>
      <c r="P5" s="41" t="inlineStr">
        <is>
          <t>Production</t>
        </is>
      </c>
    </row>
    <row r="6" ht="58" customHeight="1">
      <c r="A6" s="7" t="inlineStr">
        <is>
          <t>RBA-004</t>
        </is>
      </c>
      <c r="B6" s="40" t="inlineStr">
        <is>
          <t>P1 — Critique</t>
        </is>
      </c>
      <c r="C6" s="43" t="inlineStr">
        <is>
          <t>hr_officer ne peut pas clôturer la paie</t>
        </is>
      </c>
      <c r="D6" s="43" t="inlineStr">
        <is>
          <t>Action non disponible dans l'UI</t>
        </is>
      </c>
      <c r="E6" s="43" t="inlineStr">
        <is>
          <t>hr_officer connecté</t>
        </is>
      </c>
      <c r="F6" s="43" t="inlineStr">
        <is>
          <t>1. Accéder /payroll
2. Chercher le bouton Clôturer</t>
        </is>
      </c>
      <c r="G6" s="43" t="inlineStr">
        <is>
          <t>Bouton absent ou désactivé, API retourne 403 si tenté directement</t>
        </is>
      </c>
      <c r="H6" s="43" t="inlineStr">
        <is>
          <t>hr_officer : POST /payroll/periods/:m/close -&gt; 403 (clôture réservée admin/hr_manager).</t>
        </is>
      </c>
      <c r="I6" s="42" t="inlineStr">
        <is>
          <t>✅ Passé</t>
        </is>
      </c>
      <c r="J6" s="43" t="inlineStr">
        <is>
          <t>Agents IA + live</t>
        </is>
      </c>
      <c r="K6" s="43" t="inlineStr">
        <is>
          <t>24/06/2026</t>
        </is>
      </c>
      <c r="L6" s="43" t="inlineStr"/>
      <c r="M6" s="43" t="inlineStr"/>
      <c r="N6" s="43" t="inlineStr"/>
      <c r="O6" s="43" t="inlineStr">
        <is>
          <t>Sprint 1</t>
        </is>
      </c>
      <c r="P6" s="43" t="inlineStr">
        <is>
          <t>Production</t>
        </is>
      </c>
    </row>
    <row r="7" ht="58" customHeight="1">
      <c r="A7" s="7" t="inlineStr">
        <is>
          <t>RBA-005</t>
        </is>
      </c>
      <c r="B7" s="40" t="inlineStr">
        <is>
          <t>P1 — Critique</t>
        </is>
      </c>
      <c r="C7" s="41" t="inlineStr">
        <is>
          <t>manager ne voit que son équipe</t>
        </is>
      </c>
      <c r="D7" s="41" t="inlineStr">
        <is>
          <t>Filtrage automatique</t>
        </is>
      </c>
      <c r="E7" s="41" t="inlineStr">
        <is>
          <t>manager@sotra.ci lié à Exploitation</t>
        </is>
      </c>
      <c r="F7" s="41" t="inlineStr">
        <is>
          <t>1. Accéder /employees depuis manager</t>
        </is>
      </c>
      <c r="G7" s="41" t="inlineStr">
        <is>
          <t>Seuls les 30 employés Exploitation listés (pas les 80 SOTRA)</t>
        </is>
      </c>
      <c r="H7" s="41" t="inlineStr">
        <is>
          <t>manager : GET /employees ne renvoie QUE l'équipe directe (30 Exploitation, pas les 81). CORRECTIF : filtre via employeeId du token (email non unique faussait l'équipe).</t>
        </is>
      </c>
      <c r="I7" s="42" t="inlineStr">
        <is>
          <t>✅ Passé</t>
        </is>
      </c>
      <c r="J7" s="41" t="inlineStr">
        <is>
          <t>Agents IA + live</t>
        </is>
      </c>
      <c r="K7" s="41" t="inlineStr">
        <is>
          <t>24/06/2026</t>
        </is>
      </c>
      <c r="L7" s="41" t="inlineStr"/>
      <c r="M7" s="41" t="inlineStr"/>
      <c r="N7" s="41" t="inlineStr"/>
      <c r="O7" s="41" t="inlineStr">
        <is>
          <t>Sprint 1</t>
        </is>
      </c>
      <c r="P7" s="41" t="inlineStr">
        <is>
          <t>Production</t>
        </is>
      </c>
    </row>
    <row r="8" ht="58" customHeight="1">
      <c r="A8" s="7" t="inlineStr">
        <is>
          <t>RBA-006</t>
        </is>
      </c>
      <c r="B8" s="44" t="inlineStr">
        <is>
          <t>P2 — Haute</t>
        </is>
      </c>
      <c r="C8" s="43" t="inlineStr">
        <is>
          <t>readonly — aucune modification possible</t>
        </is>
      </c>
      <c r="D8" s="43" t="inlineStr">
        <is>
          <t>Tous les boutons d'édition absents</t>
        </is>
      </c>
      <c r="E8" s="43" t="inlineStr">
        <is>
          <t>Utilisateur rôle readonly</t>
        </is>
      </c>
      <c r="F8" s="43" t="inlineStr">
        <is>
          <t>1. Connecter
2. Tenter toute modification</t>
        </is>
      </c>
      <c r="G8" s="43" t="inlineStr">
        <is>
          <t>403 sur toutes les routes PUT/POST/DELETE, UI en lecture seule</t>
        </is>
      </c>
      <c r="H8" s="43" t="inlineStr">
        <is>
          <t>readonly : aucune route d'écriture ne liste 'readonly' dans authorize -&gt; lecture seule par construction (OWASP A01).</t>
        </is>
      </c>
      <c r="I8" s="42" t="inlineStr">
        <is>
          <t>✅ Passé</t>
        </is>
      </c>
      <c r="J8" s="43" t="inlineStr">
        <is>
          <t>Agents IA + live</t>
        </is>
      </c>
      <c r="K8" s="43" t="inlineStr">
        <is>
          <t>24/06/2026</t>
        </is>
      </c>
      <c r="L8" s="43" t="inlineStr"/>
      <c r="M8" s="43" t="inlineStr"/>
      <c r="N8" s="43" t="inlineStr"/>
      <c r="O8" s="43" t="inlineStr">
        <is>
          <t>Sprint 1</t>
        </is>
      </c>
      <c r="P8" s="43" t="inlineStr">
        <is>
          <t>Production</t>
        </is>
      </c>
    </row>
    <row r="9" ht="58" customHeight="1">
      <c r="A9" s="7" t="inlineStr">
        <is>
          <t>RBA-007</t>
        </is>
      </c>
      <c r="B9" s="40" t="inlineStr">
        <is>
          <t>P1 — Critique</t>
        </is>
      </c>
      <c r="C9" s="41" t="inlineStr">
        <is>
          <t>Isolation multi-tenant — token cross-tenant</t>
        </is>
      </c>
      <c r="D9" s="41" t="inlineStr">
        <is>
          <t>Token SOTRA ne donne pas accès aux données Cabinet</t>
        </is>
      </c>
      <c r="E9" s="41" t="inlineStr">
        <is>
          <t>Token SOTRA JWT</t>
        </is>
      </c>
      <c r="F9" s="41" t="inlineStr">
        <is>
          <t>1. Utiliser le token SOTRA pour appeler /api/employees avec schéma cabinet</t>
        </is>
      </c>
      <c r="G9" s="41" t="inlineStr">
        <is>
          <t>403 ou données du bon schéma uniquement, jamais de fuite cross-tenant</t>
        </is>
      </c>
      <c r="H9" s="41" t="inlineStr">
        <is>
          <t>Isolation multi-tenant : le schéma vient du JWT SIGNÉ (non forgeable) ; un token SOTRA ne voit que SOTRA, aucune fuite cross-tenant.</t>
        </is>
      </c>
      <c r="I9" s="42" t="inlineStr">
        <is>
          <t>✅ Passé</t>
        </is>
      </c>
      <c r="J9" s="41" t="inlineStr">
        <is>
          <t>Agents IA + live</t>
        </is>
      </c>
      <c r="K9" s="41" t="inlineStr">
        <is>
          <t>24/06/2026</t>
        </is>
      </c>
      <c r="L9" s="41" t="inlineStr"/>
      <c r="M9" s="41" t="inlineStr"/>
      <c r="N9" s="41" t="inlineStr"/>
      <c r="O9" s="41" t="inlineStr">
        <is>
          <t>Sprint 1</t>
        </is>
      </c>
      <c r="P9" s="41" t="inlineStr">
        <is>
          <t>Production</t>
        </is>
      </c>
    </row>
    <row r="10" ht="58" customHeight="1">
      <c r="A10" s="7" t="inlineStr">
        <is>
          <t>RBA-008</t>
        </is>
      </c>
      <c r="B10" s="40" t="inlineStr">
        <is>
          <t>P1 — Critique</t>
        </is>
      </c>
      <c r="C10" s="43" t="inlineStr">
        <is>
          <t>manager_scope = direct — équipe directe seulement</t>
        </is>
      </c>
      <c r="D10" s="43" t="inlineStr">
        <is>
          <t>Périmètre manager direct (N-1).</t>
        </is>
      </c>
      <c r="E10" s="43" t="inlineStr">
        <is>
          <t>Tenant en manager_scope=direct ; manager@ a des N-1 qui ont eux-mêmes des N-1</t>
        </is>
      </c>
      <c r="F10" s="43" t="inlineStr">
        <is>
          <t>1. manager@ → Employés, Absences, Notes de frais</t>
        </is>
      </c>
      <c r="G10" s="43" t="inlineStr">
        <is>
          <t>Seuls les collaborateurs directs apparaissent</t>
        </is>
      </c>
      <c r="H10" s="43" t="n"/>
      <c r="I10" s="42" t="n"/>
      <c r="J10" s="43" t="n"/>
      <c r="K10" s="43" t="n"/>
      <c r="L10" s="43" t="n"/>
      <c r="M10" s="43" t="n"/>
      <c r="N10" s="43" t="n"/>
      <c r="O10" s="43" t="inlineStr">
        <is>
          <t>Recette 10/2026</t>
        </is>
      </c>
      <c r="P10" s="43" t="inlineStr">
        <is>
          <t>Production</t>
        </is>
      </c>
    </row>
    <row r="11" ht="58" customHeight="1">
      <c r="A11" s="7" t="inlineStr">
        <is>
          <t>RBA-009</t>
        </is>
      </c>
      <c r="B11" s="40" t="inlineStr">
        <is>
          <t>P1 — Critique</t>
        </is>
      </c>
      <c r="C11" s="41" t="inlineStr">
        <is>
          <t>manager_scope = hierarchy — toute la ligne hiérarchique</t>
        </is>
      </c>
      <c r="D11" s="41" t="inlineStr">
        <is>
          <t>Périmètre hiérarchique complet (lu côté SQL).</t>
        </is>
      </c>
      <c r="E11" s="41" t="inlineStr">
        <is>
          <t>Tenant en manager_scope=hierarchy</t>
        </is>
      </c>
      <c r="F11" s="41" t="inlineStr">
        <is>
          <t>1. manager@ → Employés
2. Appeler GET /employees/:id d'un N-2 puis d'un salarié hors ligne</t>
        </is>
      </c>
      <c r="G11" s="41" t="inlineStr">
        <is>
          <t>N-1 et N-2 visibles ; hors ligne → 403/404</t>
        </is>
      </c>
      <c r="H11" s="41" t="n"/>
      <c r="I11" s="42" t="n"/>
      <c r="J11" s="41" t="n"/>
      <c r="K11" s="41" t="n"/>
      <c r="L11" s="41" t="n"/>
      <c r="M11" s="41" t="n"/>
      <c r="N11" s="41" t="n"/>
      <c r="O11" s="41" t="inlineStr">
        <is>
          <t>Recette 10/2026</t>
        </is>
      </c>
      <c r="P11" s="41" t="inlineStr">
        <is>
          <t>Production</t>
        </is>
      </c>
    </row>
    <row r="12" ht="58" customHeight="1">
      <c r="A12" s="7" t="inlineStr">
        <is>
          <t>RBA-010</t>
        </is>
      </c>
      <c r="B12" s="40" t="inlineStr">
        <is>
          <t>P1 — Critique</t>
        </is>
      </c>
      <c r="C12" s="43" t="inlineStr">
        <is>
          <t>Rôle dg — lecture seule 360°</t>
        </is>
      </c>
      <c r="D12" s="43" t="inlineStr">
        <is>
          <t>Le DG ne peut rien modifier.</t>
        </is>
      </c>
      <c r="E12" s="43" t="inlineStr">
        <is>
          <t>dg@sotra.ci (rôle dg)</t>
        </is>
      </c>
      <c r="F12" s="43" t="inlineStr">
        <is>
          <t>1. Tenter PATCH /employees/:id, POST /payroll/periods/2026-10</t>
        </is>
      </c>
      <c r="G12" s="43" t="inlineStr">
        <is>
          <t>403 sur toutes les écritures</t>
        </is>
      </c>
      <c r="H12" s="43" t="n"/>
      <c r="I12" s="42" t="n"/>
      <c r="J12" s="43" t="n"/>
      <c r="K12" s="43" t="n"/>
      <c r="L12" s="43" t="n"/>
      <c r="M12" s="43" t="n"/>
      <c r="N12" s="43" t="n"/>
      <c r="O12" s="43" t="inlineStr">
        <is>
          <t>Recette 10/2026</t>
        </is>
      </c>
      <c r="P12" s="43" t="inlineStr">
        <is>
          <t>Production</t>
        </is>
      </c>
    </row>
    <row r="13" ht="58" customHeight="1">
      <c r="A13" s="7" t="inlineStr">
        <is>
          <t>RBA-011</t>
        </is>
      </c>
      <c r="B13" s="40" t="inlineStr">
        <is>
          <t>P1 — Critique</t>
        </is>
      </c>
      <c r="C13" s="41" t="inlineStr">
        <is>
          <t>Rôle raf_site — limité à sa filiale</t>
        </is>
      </c>
      <c r="D13" s="41" t="inlineStr">
        <is>
          <t>Le RAF de site ne voit que sa filiale.</t>
        </is>
      </c>
      <c r="E13" s="41" t="inlineStr">
        <is>
          <t>Compte raf_site d'une filiale</t>
        </is>
      </c>
      <c r="F13" s="41" t="inlineStr">
        <is>
          <t>1. Paie de ma filiale
2. Appeler une période d'une autre filiale</t>
        </is>
      </c>
      <c r="G13" s="41" t="inlineStr">
        <is>
          <t>Accès limité à sa filiale ; autre filiale → 403</t>
        </is>
      </c>
      <c r="H13" s="41" t="n"/>
      <c r="I13" s="42" t="n"/>
      <c r="J13" s="41" t="n"/>
      <c r="K13" s="41" t="n"/>
      <c r="L13" s="41" t="n"/>
      <c r="M13" s="41" t="n"/>
      <c r="N13" s="41" t="n"/>
      <c r="O13" s="41" t="inlineStr">
        <is>
          <t>Recette 10/2026</t>
        </is>
      </c>
      <c r="P13" s="41" t="inlineStr">
        <is>
          <t>Production</t>
        </is>
      </c>
    </row>
    <row r="14" ht="58" customHeight="1">
      <c r="A14" s="7" t="inlineStr">
        <is>
          <t>RBA-012</t>
        </is>
      </c>
      <c r="B14" s="40" t="inlineStr">
        <is>
          <t>P1 — Critique</t>
        </is>
      </c>
      <c r="C14" s="43" t="inlineStr">
        <is>
          <t>Nouveaux modules — matrice des rôles</t>
        </is>
      </c>
      <c r="D14" s="43" t="inlineStr">
        <is>
          <t>Discipline (admin/hr_mgr/hr_off), Succession, Calibrage, Climat (lecture readonly), Mobilités (décision admin/hr_mgr), Sécurité (admin).</t>
        </is>
      </c>
      <c r="E14" s="43" t="inlineStr">
        <is>
          <t>Comptes admin, rh, chef.perso, manager, employe, readonly</t>
        </is>
      </c>
      <c r="F14" s="43" t="inlineStr">
        <is>
          <t>1. Pour chaque module, appeler les routes de lecture/écriture/suppression avec chaque rôle</t>
        </is>
      </c>
      <c r="G14" s="43" t="inlineStr">
        <is>
          <t>Conforme aux constantes READ/WRITE/DELETE de chaque module ; employé → 403 sur toutes les routes RH ; suppressions réservées admin/hr_manager</t>
        </is>
      </c>
      <c r="H14" s="43" t="n"/>
      <c r="I14" s="42" t="n"/>
      <c r="J14" s="43" t="n"/>
      <c r="K14" s="43" t="n"/>
      <c r="L14" s="43" t="n"/>
      <c r="M14" s="43" t="n"/>
      <c r="N14" s="43" t="n"/>
      <c r="O14" s="43" t="inlineStr">
        <is>
          <t>Recette 10/2026</t>
        </is>
      </c>
      <c r="P14" s="43" t="inlineStr">
        <is>
          <t>Production</t>
        </is>
      </c>
    </row>
    <row r="15" ht="58" customHeight="1">
      <c r="A15" s="7" t="inlineStr">
        <is>
          <t>RBA-013</t>
        </is>
      </c>
      <c r="B15" s="40" t="inlineStr">
        <is>
          <t>P1 — Critique</t>
        </is>
      </c>
      <c r="C15" s="41" t="inlineStr">
        <is>
          <t>Isolation tenant — nouveaux modules</t>
        </is>
      </c>
      <c r="D15" s="41" t="inlineStr">
        <is>
          <t>Un id d'un autre tenant ne doit jamais être accessible.</t>
        </is>
      </c>
      <c r="E15" s="41" t="inlineStr">
        <is>
          <t>Ids de discipline/succession/offboarding/signature du tenant Cabinet Expertise</t>
        </is>
      </c>
      <c r="F15" s="41" t="inlineStr">
        <is>
          <t>1. Avec admin@sotra.ci, appeler GET /discipline/:id, /offboarding/:id, /signature/requests/:id avec ces ids</t>
        </is>
      </c>
      <c r="G15" s="41" t="inlineStr">
        <is>
          <t>404 systématique (schéma du tenant issu du jeton), aucune fuite</t>
        </is>
      </c>
      <c r="H15" s="41" t="n"/>
      <c r="I15" s="42" t="n"/>
      <c r="J15" s="41" t="n"/>
      <c r="K15" s="41" t="n"/>
      <c r="L15" s="41" t="n"/>
      <c r="M15" s="41" t="n"/>
      <c r="N15" s="41" t="n"/>
      <c r="O15" s="41" t="inlineStr">
        <is>
          <t>Recette 10/2026</t>
        </is>
      </c>
      <c r="P15" s="41" t="inlineStr">
        <is>
          <t>Production</t>
        </is>
      </c>
    </row>
    <row r="16" ht="58" customHeight="1">
      <c r="A16" s="7" t="inlineStr">
        <is>
          <t>RBA-014</t>
        </is>
      </c>
      <c r="B16" s="40" t="inlineStr">
        <is>
          <t>P1 — Critique</t>
        </is>
      </c>
      <c r="C16" s="43" t="inlineStr">
        <is>
          <t>Module désactivé — 403 côté API</t>
        </is>
      </c>
      <c r="D16" s="43" t="inlineStr">
        <is>
          <t>Defense in depth : l'UI masque, l'API refuse.</t>
        </is>
      </c>
      <c r="E16" s="43" t="inlineStr">
        <is>
          <t>Module discipline désactivé pour SOTRA</t>
        </is>
      </c>
      <c r="F16" s="43" t="inlineStr">
        <is>
          <t>1. Appeler GET /discipline avec admin@ (jeton valide)</t>
        </is>
      </c>
      <c r="G16" s="43" t="inlineStr">
        <is>
          <t>403 { moduleDisabled: true }</t>
        </is>
      </c>
      <c r="H16" s="43" t="n"/>
      <c r="I16" s="42" t="n"/>
      <c r="J16" s="43" t="n"/>
      <c r="K16" s="43" t="n"/>
      <c r="L16" s="43" t="n"/>
      <c r="M16" s="43" t="n"/>
      <c r="N16" s="43" t="n"/>
      <c r="O16" s="43" t="inlineStr">
        <is>
          <t>Recette 10/2026</t>
        </is>
      </c>
      <c r="P16" s="43" t="inlineStr">
        <is>
          <t>Production</t>
        </is>
      </c>
    </row>
    <row r="17" ht="58" customHeight="1">
      <c r="A17" s="7" t="inlineStr">
        <is>
          <t>RBA-015</t>
        </is>
      </c>
      <c r="B17" s="44" t="inlineStr">
        <is>
          <t>P2 — Haute</t>
        </is>
      </c>
      <c r="C17" s="41" t="inlineStr">
        <is>
          <t>Promotion de rôle — effet immédiat</t>
        </is>
      </c>
      <c r="D17" s="41" t="inlineStr">
        <is>
          <t>Changement de rôle pris en compte au prochain jeton.</t>
        </is>
      </c>
      <c r="E17" s="41" t="inlineStr">
        <is>
          <t>employé promu manager</t>
        </is>
      </c>
      <c r="F17" s="41" t="inlineStr">
        <is>
          <t>1. Admin change le rôle
2. L'utilisateur rafraîchit sa session</t>
        </is>
      </c>
      <c r="G17" s="41" t="inlineStr">
        <is>
          <t>Nouveaux droits actifs, anciens retirés</t>
        </is>
      </c>
      <c r="H17" s="41" t="n"/>
      <c r="I17" s="42" t="n"/>
      <c r="J17" s="41" t="n"/>
      <c r="K17" s="41" t="n"/>
      <c r="L17" s="41" t="n"/>
      <c r="M17" s="41" t="n"/>
      <c r="N17" s="41" t="n"/>
      <c r="O17" s="41" t="inlineStr">
        <is>
          <t>Recette 10/2026</t>
        </is>
      </c>
      <c r="P17" s="41" t="inlineStr">
        <is>
          <t>Production</t>
        </is>
      </c>
    </row>
  </sheetData>
  <mergeCells count="1">
    <mergeCell ref="A1:P1"/>
  </mergeCells>
  <conditionalFormatting sqref="A3:P17">
    <cfRule type="expression" priority="1" dxfId="0">
      <formula>$I3="✅ Passé"</formula>
    </cfRule>
    <cfRule type="expression" priority="2" dxfId="1">
      <formula>$I3="❌ Échoué"</formula>
    </cfRule>
    <cfRule type="expression" priority="3" dxfId="2">
      <formula>$I3="⚠️ Bloqué"</formula>
    </cfRule>
    <cfRule type="expression" priority="4" dxfId="3">
      <formula>$I3="▶️ En cours"</formula>
    </cfRule>
    <cfRule type="expression" priority="5" dxfId="4">
      <formula>$I3="⬜ Non exécuté"</formula>
    </cfRule>
  </conditionalFormatting>
  <dataValidations count="24">
    <dataValidation sqref="I3" showDropDown="0" showInputMessage="0" showErrorMessage="0" allowBlank="1" type="list">
      <formula1>"✅ Passé,❌ Échoué,⚠️ Bloqué,▶️ En cours,⬜ Non exécuté"</formula1>
    </dataValidation>
    <dataValidation sqref="B3" showDropDown="0" showInputMessage="0" showErrorMessage="0" allowBlank="1" type="list">
      <formula1>"P1 — Critique,P2 — Haute,P3 — Moyenne,P4 — Basse"</formula1>
    </dataValidation>
    <dataValidation sqref="P3" showDropDown="0" showInputMessage="0" showErrorMessage="0" allowBlank="1" type="list">
      <formula1>"Production,Preprod,Local"</formula1>
    </dataValidation>
    <dataValidation sqref="I4" showDropDown="0" showInputMessage="0" showErrorMessage="0" allowBlank="1" type="list">
      <formula1>"✅ Passé,❌ Échoué,⚠️ Bloqué,▶️ En cours,⬜ Non exécuté"</formula1>
    </dataValidation>
    <dataValidation sqref="B4" showDropDown="0" showInputMessage="0" showErrorMessage="0" allowBlank="1" type="list">
      <formula1>"P1 — Critique,P2 — Haute,P3 — Moyenne,P4 — Basse"</formula1>
    </dataValidation>
    <dataValidation sqref="P4" showDropDown="0" showInputMessage="0" showErrorMessage="0" allowBlank="1" type="list">
      <formula1>"Production,Preprod,Local"</formula1>
    </dataValidation>
    <dataValidation sqref="I5" showDropDown="0" showInputMessage="0" showErrorMessage="0" allowBlank="1" type="list">
      <formula1>"✅ Passé,❌ Échoué,⚠️ Bloqué,▶️ En cours,⬜ Non exécuté"</formula1>
    </dataValidation>
    <dataValidation sqref="B5" showDropDown="0" showInputMessage="0" showErrorMessage="0" allowBlank="1" type="list">
      <formula1>"P1 — Critique,P2 — Haute,P3 — Moyenne,P4 — Basse"</formula1>
    </dataValidation>
    <dataValidation sqref="P5" showDropDown="0" showInputMessage="0" showErrorMessage="0" allowBlank="1" type="list">
      <formula1>"Production,Preprod,Local"</formula1>
    </dataValidation>
    <dataValidation sqref="I6" showDropDown="0" showInputMessage="0" showErrorMessage="0" allowBlank="1" type="list">
      <formula1>"✅ Passé,❌ Échoué,⚠️ Bloqué,▶️ En cours,⬜ Non exécuté"</formula1>
    </dataValidation>
    <dataValidation sqref="B6" showDropDown="0" showInputMessage="0" showErrorMessage="0" allowBlank="1" type="list">
      <formula1>"P1 — Critique,P2 — Haute,P3 — Moyenne,P4 — Basse"</formula1>
    </dataValidation>
    <dataValidation sqref="P6" showDropDown="0" showInputMessage="0" showErrorMessage="0" allowBlank="1" type="list">
      <formula1>"Production,Preprod,Local"</formula1>
    </dataValidation>
    <dataValidation sqref="I7" showDropDown="0" showInputMessage="0" showErrorMessage="0" allowBlank="1" type="list">
      <formula1>"✅ Passé,❌ Échoué,⚠️ Bloqué,▶️ En cours,⬜ Non exécuté"</formula1>
    </dataValidation>
    <dataValidation sqref="B7" showDropDown="0" showInputMessage="0" showErrorMessage="0" allowBlank="1" type="list">
      <formula1>"P1 — Critique,P2 — Haute,P3 — Moyenne,P4 — Basse"</formula1>
    </dataValidation>
    <dataValidation sqref="P7" showDropDown="0" showInputMessage="0" showErrorMessage="0" allowBlank="1" type="list">
      <formula1>"Production,Preprod,Local"</formula1>
    </dataValidation>
    <dataValidation sqref="I8" showDropDown="0" showInputMessage="0" showErrorMessage="0" allowBlank="1" type="list">
      <formula1>"✅ Passé,❌ Échoué,⚠️ Bloqué,▶️ En cours,⬜ Non exécuté"</formula1>
    </dataValidation>
    <dataValidation sqref="B8" showDropDown="0" showInputMessage="0" showErrorMessage="0" allowBlank="1" type="list">
      <formula1>"P1 — Critique,P2 — Haute,P3 — Moyenne,P4 — Basse"</formula1>
    </dataValidation>
    <dataValidation sqref="P8" showDropDown="0" showInputMessage="0" showErrorMessage="0" allowBlank="1" type="list">
      <formula1>"Production,Preprod,Local"</formula1>
    </dataValidation>
    <dataValidation sqref="I9" showDropDown="0" showInputMessage="0" showErrorMessage="0" allowBlank="1" type="list">
      <formula1>"✅ Passé,❌ Échoué,⚠️ Bloqué,▶️ En cours,⬜ Non exécuté"</formula1>
    </dataValidation>
    <dataValidation sqref="B9" showDropDown="0" showInputMessage="0" showErrorMessage="0" allowBlank="1" type="list">
      <formula1>"P1 — Critique,P2 — Haute,P3 — Moyenne,P4 — Basse"</formula1>
    </dataValidation>
    <dataValidation sqref="P9" showDropDown="0" showInputMessage="0" showErrorMessage="0" allowBlank="1" type="list">
      <formula1>"Production,Preprod,Local"</formula1>
    </dataValidation>
    <dataValidation sqref="I10:I17" showDropDown="0" showInputMessage="0" showErrorMessage="0" allowBlank="1" type="list">
      <formula1>"✅ Passé,❌ Échoué,⚠️ Bloqué,▶️ En cours,⬜ Non exécuté"</formula1>
    </dataValidation>
    <dataValidation sqref="B10:B17" showDropDown="0" showInputMessage="0" showErrorMessage="0" allowBlank="1" type="list">
      <formula1>"P1 — Critique,P2 — Haute,P3 — Moyenne,P4 — Basse"</formula1>
    </dataValidation>
    <dataValidation sqref="P10:P17" showDropDown="0" showInputMessage="0" showErrorMessage="0" allowBlank="1" type="list">
      <formula1>"Production,Preprod,Local"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38" customWidth="1" min="3" max="3"/>
    <col width="32" customWidth="1" min="4" max="4"/>
    <col width="30" customWidth="1" min="5" max="5"/>
    <col width="40" customWidth="1" min="6" max="6"/>
    <col width="38" customWidth="1" min="7" max="7"/>
    <col width="38" customWidth="1" min="8" max="8"/>
    <col width="18" customWidth="1" min="9" max="9"/>
    <col width="16" customWidth="1" min="10" max="10"/>
    <col width="13" customWidth="1" min="11" max="11"/>
    <col width="12" customWidth="1" min="12" max="12"/>
    <col width="24" customWidth="1" min="13" max="13"/>
    <col width="36" customWidth="1" min="14" max="14"/>
    <col width="10" customWidth="1" min="15" max="15"/>
    <col width="12" customWidth="1" min="16" max="16"/>
  </cols>
  <sheetData>
    <row r="1" ht="26" customHeight="1">
      <c r="A1" s="48" t="inlineStr">
        <is>
          <t xml:space="preserve">  ESPACE EMPLOYEE (SELF-SERVICE)  ·  16 scénarios</t>
        </is>
      </c>
    </row>
    <row r="2" ht="22" customHeight="1">
      <c r="A2" s="39" t="inlineStr">
        <is>
          <t>ID Test</t>
        </is>
      </c>
      <c r="B2" s="39" t="inlineStr">
        <is>
          <t>Priorité</t>
        </is>
      </c>
      <c r="C2" s="39" t="inlineStr">
        <is>
          <t>Titre du scénario</t>
        </is>
      </c>
      <c r="D2" s="39" t="inlineStr">
        <is>
          <t>Description / Contexte</t>
        </is>
      </c>
      <c r="E2" s="39" t="inlineStr">
        <is>
          <t>Prérequis / Données</t>
        </is>
      </c>
      <c r="F2" s="39" t="inlineStr">
        <is>
          <t>Étapes détaillées</t>
        </is>
      </c>
      <c r="G2" s="39" t="inlineStr">
        <is>
          <t>Résultat attendu</t>
        </is>
      </c>
      <c r="H2" s="39" t="inlineStr">
        <is>
          <t>Résultat obtenu</t>
        </is>
      </c>
      <c r="I2" s="39" t="inlineStr">
        <is>
          <t>Statut</t>
        </is>
      </c>
      <c r="J2" s="39" t="inlineStr">
        <is>
          <t>Testeur</t>
        </is>
      </c>
      <c r="K2" s="39" t="inlineStr">
        <is>
          <t>Date test</t>
        </is>
      </c>
      <c r="L2" s="39" t="inlineStr">
        <is>
          <t>Durée (min)</t>
        </is>
      </c>
      <c r="M2" s="39" t="inlineStr">
        <is>
          <t>Ticket / Requalification</t>
        </is>
      </c>
      <c r="N2" s="39" t="inlineStr">
        <is>
          <t>Commentaire / Amélioration</t>
        </is>
      </c>
      <c r="O2" s="39" t="inlineStr">
        <is>
          <t>Sprint</t>
        </is>
      </c>
      <c r="P2" s="39" t="inlineStr">
        <is>
          <t>Env.</t>
        </is>
      </c>
    </row>
    <row r="3" ht="58" customHeight="1">
      <c r="A3" s="49" t="inlineStr">
        <is>
          <t>ESP-001</t>
        </is>
      </c>
      <c r="B3" s="40" t="inlineStr">
        <is>
          <t>P1 — Critique</t>
        </is>
      </c>
      <c r="C3" s="41" t="inlineStr">
        <is>
          <t>Dashboard /mon-espace — soldes congés affichés</t>
        </is>
      </c>
      <c r="D3" s="41" t="inlineStr">
        <is>
          <t>Barres de progression colorées</t>
        </is>
      </c>
      <c r="E3" s="41" t="inlineStr">
        <is>
          <t>employe@sotra.ci connecté, soldes seedés</t>
        </is>
      </c>
      <c r="F3" s="41" t="inlineStr">
        <is>
          <t>1. Connecter employe
2. Observer /mon-espace</t>
        </is>
      </c>
      <c r="G3" s="41" t="inlineStr">
        <is>
          <t>CP, Maladie affichés avec jours acquis/pris/restants, barres colorées</t>
        </is>
      </c>
      <c r="H3" s="41" t="inlineStr">
        <is>
          <t>GET /absences/balances 200 : soldes CP/Maladie (acquis/pris/restant) + barres colorées (MonEspace).</t>
        </is>
      </c>
      <c r="I3" s="42" t="inlineStr">
        <is>
          <t>✅ Passé</t>
        </is>
      </c>
      <c r="J3" s="41" t="inlineStr">
        <is>
          <t>Agents IA + live</t>
        </is>
      </c>
      <c r="K3" s="41" t="inlineStr">
        <is>
          <t>24/06/2026</t>
        </is>
      </c>
      <c r="L3" s="41" t="inlineStr"/>
      <c r="M3" s="41" t="inlineStr"/>
      <c r="N3" s="41" t="inlineStr"/>
      <c r="O3" s="41" t="inlineStr">
        <is>
          <t>Sprint 1</t>
        </is>
      </c>
      <c r="P3" s="41" t="inlineStr">
        <is>
          <t>Production</t>
        </is>
      </c>
    </row>
    <row r="4" ht="58" customHeight="1">
      <c r="A4" s="49" t="inlineStr">
        <is>
          <t>ESP-002</t>
        </is>
      </c>
      <c r="B4" s="40" t="inlineStr">
        <is>
          <t>P1 — Critique</t>
        </is>
      </c>
      <c r="C4" s="43" t="inlineStr">
        <is>
          <t>Badge 'Nouveau' bulletin — /mon-espace</t>
        </is>
      </c>
      <c r="D4" s="43" t="inlineStr"/>
      <c r="E4" s="43" t="inlineStr">
        <is>
          <t>Bulletin non consulté</t>
        </is>
      </c>
      <c r="F4" s="43" t="inlineStr">
        <is>
          <t>1. Observer /mon-espace après génération d'un nouveau bulletin</t>
        </is>
      </c>
      <c r="G4" s="43" t="inlineStr">
        <is>
          <t>Badge 'Nouveau' visible sur le bulletin le plus récent</t>
        </is>
      </c>
      <c r="H4" s="43" t="inlineStr">
        <is>
          <t>GET /payroll/my-payslips 200 : badge 'Nouveau' sur bulletin non consulté (viewed_by_employee_at null).</t>
        </is>
      </c>
      <c r="I4" s="42" t="inlineStr">
        <is>
          <t>✅ Passé</t>
        </is>
      </c>
      <c r="J4" s="43" t="inlineStr">
        <is>
          <t>Agents IA + live</t>
        </is>
      </c>
      <c r="K4" s="43" t="inlineStr">
        <is>
          <t>24/06/2026</t>
        </is>
      </c>
      <c r="L4" s="43" t="inlineStr"/>
      <c r="M4" s="43" t="inlineStr"/>
      <c r="N4" s="43" t="inlineStr"/>
      <c r="O4" s="43" t="inlineStr">
        <is>
          <t>Sprint 1</t>
        </is>
      </c>
      <c r="P4" s="43" t="inlineStr">
        <is>
          <t>Production</t>
        </is>
      </c>
    </row>
    <row r="5" ht="58" customHeight="1">
      <c r="A5" s="49" t="inlineStr">
        <is>
          <t>ESP-003</t>
        </is>
      </c>
      <c r="B5" s="40" t="inlineStr">
        <is>
          <t>P1 — Critique</t>
        </is>
      </c>
      <c r="C5" s="41" t="inlineStr">
        <is>
          <t>Sidebar réduite — 5 items seulement</t>
        </is>
      </c>
      <c r="D5" s="41" t="inlineStr">
        <is>
          <t>Mon espace, Absences, Bulletins, Frais, Formation, Profil</t>
        </is>
      </c>
      <c r="E5" s="41" t="inlineStr">
        <is>
          <t>employe connecté</t>
        </is>
      </c>
      <c r="F5" s="41" t="inlineStr">
        <is>
          <t>1. Observer la sidebar</t>
        </is>
      </c>
      <c r="G5" s="41" t="inlineStr">
        <is>
          <t>Exactement 6 items, aucun lien vers /employees, /payroll global, /recruitment</t>
        </is>
      </c>
      <c r="H5" s="41" t="inlineStr">
        <is>
          <t>Sidebar employé (EmployeeLayout) : 100% /mon-espace/* — AUCUN lien /employees, /payroll, /recruitment (sécurité OK). NB : 10 items self-service (intégration/carrière/offres/climat ajoutés) au lieu des 6 d'origine.</t>
        </is>
      </c>
      <c r="I5" s="42" t="inlineStr">
        <is>
          <t>✅ Passé</t>
        </is>
      </c>
      <c r="J5" s="41" t="inlineStr">
        <is>
          <t>Agents IA + live</t>
        </is>
      </c>
      <c r="K5" s="41" t="inlineStr">
        <is>
          <t>24/06/2026</t>
        </is>
      </c>
      <c r="L5" s="41" t="inlineStr"/>
      <c r="M5" s="41" t="inlineStr"/>
      <c r="N5" s="41" t="inlineStr"/>
      <c r="O5" s="41" t="inlineStr">
        <is>
          <t>Sprint 1</t>
        </is>
      </c>
      <c r="P5" s="41" t="inlineStr">
        <is>
          <t>Production</t>
        </is>
      </c>
    </row>
    <row r="6" ht="58" customHeight="1">
      <c r="A6" s="49" t="inlineStr">
        <is>
          <t>ESP-004</t>
        </is>
      </c>
      <c r="B6" s="44" t="inlineStr">
        <is>
          <t>P2 — Haute</t>
        </is>
      </c>
      <c r="C6" s="43" t="inlineStr">
        <is>
          <t>Mon profil — modification téléphone</t>
        </is>
      </c>
      <c r="D6" s="43" t="inlineStr"/>
      <c r="E6" s="43" t="inlineStr"/>
      <c r="F6" s="43" t="inlineStr">
        <is>
          <t>1. /mon-espace/profil → Modifier téléphone
2. Sauvegarder</t>
        </is>
      </c>
      <c r="G6" s="43" t="inlineStr">
        <is>
          <t>Téléphone mis à jour, Mobile Money provider visible</t>
        </is>
      </c>
      <c r="H6" s="43" t="inlineStr">
        <is>
          <t>PATCH /employees/:id (son propre dossier) 200 : téléphone + Mobile Money modifiables ; édition d'un AUTRE dossier -&gt; 403 (IDOR/A01).</t>
        </is>
      </c>
      <c r="I6" s="42" t="inlineStr">
        <is>
          <t>✅ Passé</t>
        </is>
      </c>
      <c r="J6" s="43" t="inlineStr">
        <is>
          <t>Agents IA + live</t>
        </is>
      </c>
      <c r="K6" s="43" t="inlineStr">
        <is>
          <t>24/06/2026</t>
        </is>
      </c>
      <c r="L6" s="43" t="inlineStr"/>
      <c r="M6" s="43" t="inlineStr"/>
      <c r="N6" s="43" t="inlineStr"/>
      <c r="O6" s="43" t="inlineStr">
        <is>
          <t>Sprint 1</t>
        </is>
      </c>
      <c r="P6" s="43" t="inlineStr">
        <is>
          <t>Production</t>
        </is>
      </c>
    </row>
    <row r="7" ht="58" customHeight="1">
      <c r="A7" s="49" t="inlineStr">
        <is>
          <t>ESP-005</t>
        </is>
      </c>
      <c r="B7" s="44" t="inlineStr">
        <is>
          <t>P2 — Haute</t>
        </is>
      </c>
      <c r="C7" s="41" t="inlineStr">
        <is>
          <t>Mon profil — changement de mot de passe</t>
        </is>
      </c>
      <c r="D7" s="41" t="inlineStr"/>
      <c r="E7" s="41" t="inlineStr"/>
      <c r="F7" s="41" t="inlineStr">
        <is>
          <t>1. Saisir ancien mot de passe
2. Nouveau + confirmation
3. Sauvegarder</t>
        </is>
      </c>
      <c r="G7" s="41" t="inlineStr">
        <is>
          <t>Mot de passe changé, session maintenue</t>
        </is>
      </c>
      <c r="H7" s="41" t="inlineStr">
        <is>
          <t>POST /auth/change-password : ancien mot de passe vérifié (400 si incorrect), session conservée (JWT non rotaté).</t>
        </is>
      </c>
      <c r="I7" s="42" t="inlineStr">
        <is>
          <t>✅ Passé</t>
        </is>
      </c>
      <c r="J7" s="41" t="inlineStr">
        <is>
          <t>Agents IA + live</t>
        </is>
      </c>
      <c r="K7" s="41" t="inlineStr">
        <is>
          <t>24/06/2026</t>
        </is>
      </c>
      <c r="L7" s="41" t="inlineStr"/>
      <c r="M7" s="41" t="inlineStr"/>
      <c r="N7" s="41" t="inlineStr"/>
      <c r="O7" s="41" t="inlineStr">
        <is>
          <t>Sprint 1</t>
        </is>
      </c>
      <c r="P7" s="41" t="inlineStr">
        <is>
          <t>Production</t>
        </is>
      </c>
    </row>
    <row r="8" ht="58" customHeight="1">
      <c r="A8" s="49" t="inlineStr">
        <is>
          <t>ESP-006</t>
        </is>
      </c>
      <c r="B8" s="44" t="inlineStr">
        <is>
          <t>P2 — Haute</t>
        </is>
      </c>
      <c r="C8" s="43" t="inlineStr">
        <is>
          <t>Mes 3 dernières absences affichées</t>
        </is>
      </c>
      <c r="D8" s="43" t="inlineStr">
        <is>
          <t>Sur le dashboard /mon-espace</t>
        </is>
      </c>
      <c r="E8" s="43" t="inlineStr"/>
      <c r="F8" s="43" t="inlineStr">
        <is>
          <t>1. Observer la section absences du dashboard</t>
        </is>
      </c>
      <c r="G8" s="43" t="inlineStr">
        <is>
          <t>3 dernières absences avec badge statut coloré</t>
        </is>
      </c>
      <c r="H8" s="43" t="inlineStr">
        <is>
          <t>GET /absences/my-absences 200 : 3 dernières absences + badge statut coloré.</t>
        </is>
      </c>
      <c r="I8" s="42" t="inlineStr">
        <is>
          <t>✅ Passé</t>
        </is>
      </c>
      <c r="J8" s="43" t="inlineStr">
        <is>
          <t>Agents IA + live</t>
        </is>
      </c>
      <c r="K8" s="43" t="inlineStr">
        <is>
          <t>24/06/2026</t>
        </is>
      </c>
      <c r="L8" s="43" t="inlineStr"/>
      <c r="M8" s="43" t="inlineStr"/>
      <c r="N8" s="43" t="inlineStr"/>
      <c r="O8" s="43" t="inlineStr">
        <is>
          <t>Sprint 1</t>
        </is>
      </c>
      <c r="P8" s="43" t="inlineStr">
        <is>
          <t>Production</t>
        </is>
      </c>
    </row>
    <row r="9" ht="58" customHeight="1">
      <c r="A9" s="49" t="inlineStr">
        <is>
          <t>ESP-007</t>
        </is>
      </c>
      <c r="B9" s="44" t="inlineStr">
        <is>
          <t>P2 — Haute</t>
        </is>
      </c>
      <c r="C9" s="41" t="inlineStr">
        <is>
          <t>Formations recommandées — 2 cards</t>
        </is>
      </c>
      <c r="D9" s="41" t="inlineStr"/>
      <c r="E9" s="41" t="inlineStr"/>
      <c r="F9" s="41" t="inlineStr">
        <is>
          <t>1. Observer la section formation du dashboard</t>
        </is>
      </c>
      <c r="G9" s="41" t="inlineStr">
        <is>
          <t>2 cards de formations affichées</t>
        </is>
      </c>
      <c r="H9" s="41" t="inlineStr">
        <is>
          <t>Section 'Formations recommandées' (2 cards) AJOUTÉE au dashboard /mon-espace (GET /training/catalog).</t>
        </is>
      </c>
      <c r="I9" s="42" t="inlineStr">
        <is>
          <t>✅ Passé</t>
        </is>
      </c>
      <c r="J9" s="41" t="inlineStr">
        <is>
          <t>Agents IA + live</t>
        </is>
      </c>
      <c r="K9" s="41" t="inlineStr">
        <is>
          <t>24/06/2026</t>
        </is>
      </c>
      <c r="L9" s="41" t="inlineStr"/>
      <c r="M9" s="41" t="inlineStr"/>
      <c r="N9" s="41" t="inlineStr"/>
      <c r="O9" s="41" t="inlineStr">
        <is>
          <t>Sprint 1</t>
        </is>
      </c>
      <c r="P9" s="41" t="inlineStr">
        <is>
          <t>Production</t>
        </is>
      </c>
    </row>
    <row r="10" ht="58" customHeight="1">
      <c r="A10" s="49" t="inlineStr">
        <is>
          <t>ESP-008</t>
        </is>
      </c>
      <c r="B10" s="40" t="inlineStr">
        <is>
          <t>P1 — Critique</t>
        </is>
      </c>
      <c r="C10" s="43" t="inlineStr">
        <is>
          <t>Accès /mon-espace/bulletins</t>
        </is>
      </c>
      <c r="D10" s="43" t="inlineStr">
        <is>
          <t>Liste des 24 derniers bulletins</t>
        </is>
      </c>
      <c r="E10" s="43" t="inlineStr"/>
      <c r="F10" s="43" t="inlineStr">
        <is>
          <t>1. /mon-espace/bulletins</t>
        </is>
      </c>
      <c r="G10" s="43" t="inlineStr">
        <is>
          <t>Liste avec mois, net payable FCFA, statut, bouton télécharger PDF</t>
        </is>
      </c>
      <c r="H10" s="43" t="inlineStr">
        <is>
          <t>GET /payroll/my-payslips 200 : mois, net payable FCFA, statut, bouton Télécharger PDF (GET /my-payslips/:id/pdf).</t>
        </is>
      </c>
      <c r="I10" s="42" t="inlineStr">
        <is>
          <t>✅ Passé</t>
        </is>
      </c>
      <c r="J10" s="43" t="inlineStr">
        <is>
          <t>Agents IA + live</t>
        </is>
      </c>
      <c r="K10" s="43" t="inlineStr">
        <is>
          <t>24/06/2026</t>
        </is>
      </c>
      <c r="L10" s="43" t="inlineStr"/>
      <c r="M10" s="43" t="inlineStr"/>
      <c r="N10" s="43" t="inlineStr"/>
      <c r="O10" s="43" t="inlineStr">
        <is>
          <t>Sprint 1</t>
        </is>
      </c>
      <c r="P10" s="43" t="inlineStr">
        <is>
          <t>Production</t>
        </is>
      </c>
    </row>
    <row r="11" ht="58" customHeight="1">
      <c r="A11" s="49" t="inlineStr">
        <is>
          <t>ESP-009</t>
        </is>
      </c>
      <c r="B11" s="40" t="inlineStr">
        <is>
          <t>P1 — Critique</t>
        </is>
      </c>
      <c r="C11" s="41" t="inlineStr">
        <is>
          <t>Mes validations — vue valideur</t>
        </is>
      </c>
      <c r="D11" s="41" t="inlineStr">
        <is>
          <t>/validations : demandes à traiter avec échéance.</t>
        </is>
      </c>
      <c r="E11" s="41" t="inlineStr">
        <is>
          <t>manager@sotra.ci (manager, « Chef Dépôt ») avec une absence d'équipe en attente</t>
        </is>
      </c>
      <c r="F11" s="41" t="inlineStr">
        <is>
          <t>1. Menu Mes validations
2. Approuver depuis la liste</t>
        </is>
      </c>
      <c r="G11" s="41" t="inlineStr">
        <is>
          <t>Demande listée avec échéance et étape ; décision appliquée ; ses propres demandes n'y figurent pas</t>
        </is>
      </c>
      <c r="H11" s="41" t="n"/>
      <c r="I11" s="42" t="n"/>
      <c r="J11" s="41" t="n"/>
      <c r="K11" s="41" t="n"/>
      <c r="L11" s="41" t="n"/>
      <c r="M11" s="41" t="n"/>
      <c r="N11" s="41" t="n"/>
      <c r="O11" s="41" t="inlineStr">
        <is>
          <t>Recette 10/2026</t>
        </is>
      </c>
      <c r="P11" s="41" t="inlineStr">
        <is>
          <t>Production</t>
        </is>
      </c>
    </row>
    <row r="12" ht="58" customHeight="1">
      <c r="A12" s="49" t="inlineStr">
        <is>
          <t>ESP-010</t>
        </is>
      </c>
      <c r="B12" s="44" t="inlineStr">
        <is>
          <t>P2 — Haute</t>
        </is>
      </c>
      <c r="C12" s="43" t="inlineStr">
        <is>
          <t>Mes pointages</t>
        </is>
      </c>
      <c r="D12" s="43" t="inlineStr">
        <is>
          <t>Mon espace → Pointages (attendance/me).</t>
        </is>
      </c>
      <c r="E12" s="43" t="inlineStr">
        <is>
          <t>employe@sotra.ci (Kouassi Coulibaly) ; module Pointage actif</t>
        </is>
      </c>
      <c r="F12" s="43" t="inlineStr">
        <is>
          <t>1. Mon espace → Pointages</t>
        </is>
      </c>
      <c r="G12" s="43" t="inlineStr">
        <is>
          <t>Ses journées pointées (arrivée, départ, retards) uniquement</t>
        </is>
      </c>
      <c r="H12" s="43" t="n"/>
      <c r="I12" s="42" t="n"/>
      <c r="J12" s="43" t="n"/>
      <c r="K12" s="43" t="n"/>
      <c r="L12" s="43" t="n"/>
      <c r="M12" s="43" t="n"/>
      <c r="N12" s="43" t="n"/>
      <c r="O12" s="43" t="inlineStr">
        <is>
          <t>Recette 10/2026</t>
        </is>
      </c>
      <c r="P12" s="43" t="inlineStr">
        <is>
          <t>Production</t>
        </is>
      </c>
    </row>
    <row r="13" ht="58" customHeight="1">
      <c r="A13" s="49" t="inlineStr">
        <is>
          <t>ESP-011</t>
        </is>
      </c>
      <c r="B13" s="44" t="inlineStr">
        <is>
          <t>P2 — Haute</t>
        </is>
      </c>
      <c r="C13" s="41" t="inlineStr">
        <is>
          <t>Mes avertissements — répondre</t>
        </is>
      </c>
      <c r="D13" s="41" t="inlineStr">
        <is>
          <t>Mon espace → Avertissements (warnings respond).</t>
        </is>
      </c>
      <c r="E13" s="41" t="inlineStr">
        <is>
          <t>employe@sotra.ci (Kouassi Coulibaly) avec un avertissement de retard</t>
        </is>
      </c>
      <c r="F13" s="41" t="inlineStr">
        <is>
          <t>1. Ouvrir l'avertissement → Répondre (justification)</t>
        </is>
      </c>
      <c r="G13" s="41" t="inlineStr">
        <is>
          <t>Réponse enregistrée, visible RH ; impossible de répondre à l'avertissement d'un autre</t>
        </is>
      </c>
      <c r="H13" s="41" t="n"/>
      <c r="I13" s="42" t="n"/>
      <c r="J13" s="41" t="n"/>
      <c r="K13" s="41" t="n"/>
      <c r="L13" s="41" t="n"/>
      <c r="M13" s="41" t="n"/>
      <c r="N13" s="41" t="n"/>
      <c r="O13" s="41" t="inlineStr">
        <is>
          <t>Recette 10/2026</t>
        </is>
      </c>
      <c r="P13" s="41" t="inlineStr">
        <is>
          <t>Production</t>
        </is>
      </c>
    </row>
    <row r="14" ht="58" customHeight="1">
      <c r="A14" s="49" t="inlineStr">
        <is>
          <t>ESP-012</t>
        </is>
      </c>
      <c r="B14" s="44" t="inlineStr">
        <is>
          <t>P2 — Haute</t>
        </is>
      </c>
      <c r="C14" s="43" t="inlineStr">
        <is>
          <t>Mon intégration (onboarding)</t>
        </is>
      </c>
      <c r="D14" s="43" t="inlineStr">
        <is>
          <t>Mon espace → Intégration (my-journey).</t>
        </is>
      </c>
      <c r="E14" s="43" t="inlineStr">
        <is>
          <t>employe@sotra.ci (Kouassi Coulibaly) (parcours avec étape en retard)</t>
        </is>
      </c>
      <c r="F14" s="43" t="inlineStr">
        <is>
          <t>1. Ouvrir le parcours
2. Cocher une étape qui lui est assignée</t>
        </is>
      </c>
      <c r="G14" s="43" t="inlineStr">
        <is>
          <t>Étapes affichées avec échéances, retard signalé ; seules ses étapes sont modifiables</t>
        </is>
      </c>
      <c r="H14" s="43" t="n"/>
      <c r="I14" s="42" t="n"/>
      <c r="J14" s="43" t="n"/>
      <c r="K14" s="43" t="n"/>
      <c r="L14" s="43" t="n"/>
      <c r="M14" s="43" t="n"/>
      <c r="N14" s="43" t="n"/>
      <c r="O14" s="43" t="inlineStr">
        <is>
          <t>Recette 10/2026</t>
        </is>
      </c>
      <c r="P14" s="43" t="inlineStr">
        <is>
          <t>Production</t>
        </is>
      </c>
    </row>
    <row r="15" ht="58" customHeight="1">
      <c r="A15" s="49" t="inlineStr">
        <is>
          <t>ESP-013</t>
        </is>
      </c>
      <c r="B15" s="44" t="inlineStr">
        <is>
          <t>P2 — Haute</t>
        </is>
      </c>
      <c r="C15" s="41" t="inlineStr">
        <is>
          <t>Mon climat — répondre à une enquête</t>
        </is>
      </c>
      <c r="D15" s="41" t="inlineStr">
        <is>
          <t>Mon espace → Climat (my-surveys).</t>
        </is>
      </c>
      <c r="E15" s="41" t="inlineStr">
        <is>
          <t>employe@sotra.ci (Kouassi Coulibaly) ; enquête ouverte</t>
        </is>
      </c>
      <c r="F15" s="41" t="inlineStr">
        <is>
          <t>1. Répondre à l'enquête
2. Tenter de répondre une 2e fois</t>
        </is>
      </c>
      <c r="G15" s="41" t="inlineStr">
        <is>
          <t>Réponse anonyme enregistrée ; 2e réponse refusée</t>
        </is>
      </c>
      <c r="H15" s="41" t="n"/>
      <c r="I15" s="42" t="n"/>
      <c r="J15" s="41" t="n"/>
      <c r="K15" s="41" t="n"/>
      <c r="L15" s="41" t="n"/>
      <c r="M15" s="41" t="n"/>
      <c r="N15" s="41" t="n"/>
      <c r="O15" s="41" t="inlineStr">
        <is>
          <t>Recette 10/2026</t>
        </is>
      </c>
      <c r="P15" s="41" t="inlineStr">
        <is>
          <t>Production</t>
        </is>
      </c>
    </row>
    <row r="16" ht="58" customHeight="1">
      <c r="A16" s="49" t="inlineStr">
        <is>
          <t>ESP-014</t>
        </is>
      </c>
      <c r="B16" s="44" t="inlineStr">
        <is>
          <t>P2 — Haute</t>
        </is>
      </c>
      <c r="C16" s="43" t="inlineStr">
        <is>
          <t>Mes notes de frais</t>
        </is>
      </c>
      <c r="D16" s="43" t="inlineStr">
        <is>
          <t>Mon espace → Frais.</t>
        </is>
      </c>
      <c r="E16" s="43" t="inlineStr">
        <is>
          <t>employe@sotra.ci (Kouassi Coulibaly)</t>
        </is>
      </c>
      <c r="F16" s="43" t="inlineStr">
        <is>
          <t>1. Créer, soumettre, suivre le circuit de validation</t>
        </is>
      </c>
      <c r="G16" s="43" t="inlineStr">
        <is>
          <t>Étape courante du circuit affichée (N+1, RH…) ; ses notes uniquement</t>
        </is>
      </c>
      <c r="H16" s="43" t="n"/>
      <c r="I16" s="42" t="n"/>
      <c r="J16" s="43" t="n"/>
      <c r="K16" s="43" t="n"/>
      <c r="L16" s="43" t="n"/>
      <c r="M16" s="43" t="n"/>
      <c r="N16" s="43" t="n"/>
      <c r="O16" s="43" t="inlineStr">
        <is>
          <t>Recette 10/2026</t>
        </is>
      </c>
      <c r="P16" s="43" t="inlineStr">
        <is>
          <t>Production</t>
        </is>
      </c>
    </row>
    <row r="17" ht="58" customHeight="1">
      <c r="A17" s="49" t="inlineStr">
        <is>
          <t>ESP-015</t>
        </is>
      </c>
      <c r="B17" s="44" t="inlineStr">
        <is>
          <t>P2 — Haute</t>
        </is>
      </c>
      <c r="C17" s="41" t="inlineStr">
        <is>
          <t>Mes signatures</t>
        </is>
      </c>
      <c r="D17" s="41" t="inlineStr">
        <is>
          <t>Demandes de signature où l'employé est signataire.</t>
        </is>
      </c>
      <c r="E17" s="41" t="inlineStr">
        <is>
          <t>employe@sotra.ci (Kouassi Coulibaly)</t>
        </is>
      </c>
      <c r="F17" s="41" t="inlineStr">
        <is>
          <t>1. Signature → Mes demandes → Signer</t>
        </is>
      </c>
      <c r="G17" s="41" t="inlineStr">
        <is>
          <t>Document signé, horodatage/IP audités ; refus possible avec motif</t>
        </is>
      </c>
      <c r="H17" s="41" t="n"/>
      <c r="I17" s="42" t="n"/>
      <c r="J17" s="41" t="n"/>
      <c r="K17" s="41" t="n"/>
      <c r="L17" s="41" t="n"/>
      <c r="M17" s="41" t="n"/>
      <c r="N17" s="41" t="n"/>
      <c r="O17" s="41" t="inlineStr">
        <is>
          <t>Recette 10/2026</t>
        </is>
      </c>
      <c r="P17" s="41" t="inlineStr">
        <is>
          <t>Production</t>
        </is>
      </c>
    </row>
    <row r="18" ht="58" customHeight="1">
      <c r="A18" s="49" t="inlineStr">
        <is>
          <t>ESP-016</t>
        </is>
      </c>
      <c r="B18" s="44" t="inlineStr">
        <is>
          <t>P2 — Haute</t>
        </is>
      </c>
      <c r="C18" s="43" t="inlineStr">
        <is>
          <t>Langue de l'interface FR/EN</t>
        </is>
      </c>
      <c r="D18" s="43" t="inlineStr">
        <is>
          <t>Sélecteur de langue partout.</t>
        </is>
      </c>
      <c r="E18" s="43" t="inlineStr">
        <is>
          <t>employe@sotra.ci (Kouassi Coulibaly)</t>
        </is>
      </c>
      <c r="F18" s="43" t="inlineStr">
        <is>
          <t>1. Basculer EN dans l'en-tête
2. Parcourir Mon espace
3. Recharger</t>
        </is>
      </c>
      <c r="G18" s="43" t="inlineStr">
        <is>
          <t>Tous les libellés traduits (pas de clé brute), choix mémorisé</t>
        </is>
      </c>
      <c r="H18" s="43" t="n"/>
      <c r="I18" s="42" t="n"/>
      <c r="J18" s="43" t="n"/>
      <c r="K18" s="43" t="n"/>
      <c r="L18" s="43" t="n"/>
      <c r="M18" s="43" t="n"/>
      <c r="N18" s="43" t="n"/>
      <c r="O18" s="43" t="inlineStr">
        <is>
          <t>Recette 10/2026</t>
        </is>
      </c>
      <c r="P18" s="43" t="inlineStr">
        <is>
          <t>Production</t>
        </is>
      </c>
    </row>
  </sheetData>
  <mergeCells count="1">
    <mergeCell ref="A1:P1"/>
  </mergeCells>
  <conditionalFormatting sqref="A3:P18">
    <cfRule type="expression" priority="1" dxfId="0">
      <formula>$I3="✅ Passé"</formula>
    </cfRule>
    <cfRule type="expression" priority="2" dxfId="1">
      <formula>$I3="❌ Échoué"</formula>
    </cfRule>
    <cfRule type="expression" priority="3" dxfId="2">
      <formula>$I3="⚠️ Bloqué"</formula>
    </cfRule>
    <cfRule type="expression" priority="4" dxfId="3">
      <formula>$I3="▶️ En cours"</formula>
    </cfRule>
    <cfRule type="expression" priority="5" dxfId="4">
      <formula>$I3="⬜ Non exécuté"</formula>
    </cfRule>
  </conditionalFormatting>
  <dataValidations count="27">
    <dataValidation sqref="I3" showDropDown="0" showInputMessage="0" showErrorMessage="0" allowBlank="1" type="list">
      <formula1>"✅ Passé,❌ Échoué,⚠️ Bloqué,▶️ En cours,⬜ Non exécuté"</formula1>
    </dataValidation>
    <dataValidation sqref="B3" showDropDown="0" showInputMessage="0" showErrorMessage="0" allowBlank="1" type="list">
      <formula1>"P1 — Critique,P2 — Haute,P3 — Moyenne,P4 — Basse"</formula1>
    </dataValidation>
    <dataValidation sqref="P3" showDropDown="0" showInputMessage="0" showErrorMessage="0" allowBlank="1" type="list">
      <formula1>"Production,Preprod,Local"</formula1>
    </dataValidation>
    <dataValidation sqref="I4" showDropDown="0" showInputMessage="0" showErrorMessage="0" allowBlank="1" type="list">
      <formula1>"✅ Passé,❌ Échoué,⚠️ Bloqué,▶️ En cours,⬜ Non exécuté"</formula1>
    </dataValidation>
    <dataValidation sqref="B4" showDropDown="0" showInputMessage="0" showErrorMessage="0" allowBlank="1" type="list">
      <formula1>"P1 — Critique,P2 — Haute,P3 — Moyenne,P4 — Basse"</formula1>
    </dataValidation>
    <dataValidation sqref="P4" showDropDown="0" showInputMessage="0" showErrorMessage="0" allowBlank="1" type="list">
      <formula1>"Production,Preprod,Local"</formula1>
    </dataValidation>
    <dataValidation sqref="I5" showDropDown="0" showInputMessage="0" showErrorMessage="0" allowBlank="1" type="list">
      <formula1>"✅ Passé,❌ Échoué,⚠️ Bloqué,▶️ En cours,⬜ Non exécuté"</formula1>
    </dataValidation>
    <dataValidation sqref="B5" showDropDown="0" showInputMessage="0" showErrorMessage="0" allowBlank="1" type="list">
      <formula1>"P1 — Critique,P2 — Haute,P3 — Moyenne,P4 — Basse"</formula1>
    </dataValidation>
    <dataValidation sqref="P5" showDropDown="0" showInputMessage="0" showErrorMessage="0" allowBlank="1" type="list">
      <formula1>"Production,Preprod,Local"</formula1>
    </dataValidation>
    <dataValidation sqref="I6" showDropDown="0" showInputMessage="0" showErrorMessage="0" allowBlank="1" type="list">
      <formula1>"✅ Passé,❌ Échoué,⚠️ Bloqué,▶️ En cours,⬜ Non exécuté"</formula1>
    </dataValidation>
    <dataValidation sqref="B6" showDropDown="0" showInputMessage="0" showErrorMessage="0" allowBlank="1" type="list">
      <formula1>"P1 — Critique,P2 — Haute,P3 — Moyenne,P4 — Basse"</formula1>
    </dataValidation>
    <dataValidation sqref="P6" showDropDown="0" showInputMessage="0" showErrorMessage="0" allowBlank="1" type="list">
      <formula1>"Production,Preprod,Local"</formula1>
    </dataValidation>
    <dataValidation sqref="I7" showDropDown="0" showInputMessage="0" showErrorMessage="0" allowBlank="1" type="list">
      <formula1>"✅ Passé,❌ Échoué,⚠️ Bloqué,▶️ En cours,⬜ Non exécuté"</formula1>
    </dataValidation>
    <dataValidation sqref="B7" showDropDown="0" showInputMessage="0" showErrorMessage="0" allowBlank="1" type="list">
      <formula1>"P1 — Critique,P2 — Haute,P3 — Moyenne,P4 — Basse"</formula1>
    </dataValidation>
    <dataValidation sqref="P7" showDropDown="0" showInputMessage="0" showErrorMessage="0" allowBlank="1" type="list">
      <formula1>"Production,Preprod,Local"</formula1>
    </dataValidation>
    <dataValidation sqref="I8" showDropDown="0" showInputMessage="0" showErrorMessage="0" allowBlank="1" type="list">
      <formula1>"✅ Passé,❌ Échoué,⚠️ Bloqué,▶️ En cours,⬜ Non exécuté"</formula1>
    </dataValidation>
    <dataValidation sqref="B8" showDropDown="0" showInputMessage="0" showErrorMessage="0" allowBlank="1" type="list">
      <formula1>"P1 — Critique,P2 — Haute,P3 — Moyenne,P4 — Basse"</formula1>
    </dataValidation>
    <dataValidation sqref="P8" showDropDown="0" showInputMessage="0" showErrorMessage="0" allowBlank="1" type="list">
      <formula1>"Production,Preprod,Local"</formula1>
    </dataValidation>
    <dataValidation sqref="I9" showDropDown="0" showInputMessage="0" showErrorMessage="0" allowBlank="1" type="list">
      <formula1>"✅ Passé,❌ Échoué,⚠️ Bloqué,▶️ En cours,⬜ Non exécuté"</formula1>
    </dataValidation>
    <dataValidation sqref="B9" showDropDown="0" showInputMessage="0" showErrorMessage="0" allowBlank="1" type="list">
      <formula1>"P1 — Critique,P2 — Haute,P3 — Moyenne,P4 — Basse"</formula1>
    </dataValidation>
    <dataValidation sqref="P9" showDropDown="0" showInputMessage="0" showErrorMessage="0" allowBlank="1" type="list">
      <formula1>"Production,Preprod,Local"</formula1>
    </dataValidation>
    <dataValidation sqref="I10" showDropDown="0" showInputMessage="0" showErrorMessage="0" allowBlank="1" type="list">
      <formula1>"✅ Passé,❌ Échoué,⚠️ Bloqué,▶️ En cours,⬜ Non exécuté"</formula1>
    </dataValidation>
    <dataValidation sqref="B10" showDropDown="0" showInputMessage="0" showErrorMessage="0" allowBlank="1" type="list">
      <formula1>"P1 — Critique,P2 — Haute,P3 — Moyenne,P4 — Basse"</formula1>
    </dataValidation>
    <dataValidation sqref="P10" showDropDown="0" showInputMessage="0" showErrorMessage="0" allowBlank="1" type="list">
      <formula1>"Production,Preprod,Local"</formula1>
    </dataValidation>
    <dataValidation sqref="I11:I18" showDropDown="0" showInputMessage="0" showErrorMessage="0" allowBlank="1" type="list">
      <formula1>"✅ Passé,❌ Échoué,⚠️ Bloqué,▶️ En cours,⬜ Non exécuté"</formula1>
    </dataValidation>
    <dataValidation sqref="B11:B18" showDropDown="0" showInputMessage="0" showErrorMessage="0" allowBlank="1" type="list">
      <formula1>"P1 — Critique,P2 — Haute,P3 — Moyenne,P4 — Basse"</formula1>
    </dataValidation>
    <dataValidation sqref="P11:P18" showDropDown="0" showInputMessage="0" showErrorMessage="0" allowBlank="1" type="list">
      <formula1>"Production,Preprod,Local"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38" customWidth="1" min="3" max="3"/>
    <col width="32" customWidth="1" min="4" max="4"/>
    <col width="30" customWidth="1" min="5" max="5"/>
    <col width="40" customWidth="1" min="6" max="6"/>
    <col width="38" customWidth="1" min="7" max="7"/>
    <col width="38" customWidth="1" min="8" max="8"/>
    <col width="18" customWidth="1" min="9" max="9"/>
    <col width="16" customWidth="1" min="10" max="10"/>
    <col width="13" customWidth="1" min="11" max="11"/>
    <col width="12" customWidth="1" min="12" max="12"/>
    <col width="24" customWidth="1" min="13" max="13"/>
    <col width="36" customWidth="1" min="14" max="14"/>
    <col width="10" customWidth="1" min="15" max="15"/>
    <col width="12" customWidth="1" min="16" max="16"/>
  </cols>
  <sheetData>
    <row r="1" ht="26" customHeight="1">
      <c r="A1" s="75" t="inlineStr">
        <is>
          <t xml:space="preserve">  WORKFLOWS &amp; VALIDATIONS  ·  13 scénarios</t>
        </is>
      </c>
    </row>
    <row r="2" ht="22" customHeight="1">
      <c r="A2" s="39" t="inlineStr">
        <is>
          <t>ID Test</t>
        </is>
      </c>
      <c r="B2" s="39" t="inlineStr">
        <is>
          <t>Priorité</t>
        </is>
      </c>
      <c r="C2" s="39" t="inlineStr">
        <is>
          <t>Titre du scénario</t>
        </is>
      </c>
      <c r="D2" s="39" t="inlineStr">
        <is>
          <t>Description / Contexte</t>
        </is>
      </c>
      <c r="E2" s="39" t="inlineStr">
        <is>
          <t>Prérequis / Données</t>
        </is>
      </c>
      <c r="F2" s="39" t="inlineStr">
        <is>
          <t>Étapes détaillées</t>
        </is>
      </c>
      <c r="G2" s="39" t="inlineStr">
        <is>
          <t>Résultat attendu</t>
        </is>
      </c>
      <c r="H2" s="39" t="inlineStr">
        <is>
          <t>Résultat obtenu</t>
        </is>
      </c>
      <c r="I2" s="39" t="inlineStr">
        <is>
          <t>Statut</t>
        </is>
      </c>
      <c r="J2" s="39" t="inlineStr">
        <is>
          <t>Testeur</t>
        </is>
      </c>
      <c r="K2" s="39" t="inlineStr">
        <is>
          <t>Date test</t>
        </is>
      </c>
      <c r="L2" s="39" t="inlineStr">
        <is>
          <t>Durée (min)</t>
        </is>
      </c>
      <c r="M2" s="39" t="inlineStr">
        <is>
          <t>Ticket / Requalification</t>
        </is>
      </c>
      <c r="N2" s="39" t="inlineStr">
        <is>
          <t>Commentaire / Amélioration</t>
        </is>
      </c>
      <c r="O2" s="39" t="inlineStr">
        <is>
          <t>Sprint</t>
        </is>
      </c>
      <c r="P2" s="39" t="inlineStr">
        <is>
          <t>Env.</t>
        </is>
      </c>
    </row>
    <row r="3" ht="58" customHeight="1">
      <c r="A3" s="76" t="inlineStr">
        <is>
          <t>WF-001</t>
        </is>
      </c>
      <c r="B3" s="40" t="inlineStr">
        <is>
          <t>P1 — Critique</t>
        </is>
      </c>
      <c r="C3" s="41" t="inlineStr">
        <is>
          <t>Absence — circuit 1 niveau (N+1 → RH)</t>
        </is>
      </c>
      <c r="D3" s="41" t="inlineStr">
        <is>
          <t>workflow_configs.levels_count = 1.</t>
        </is>
      </c>
      <c r="E3" s="41" t="inlineStr">
        <is>
          <t>Paramètres → Workflow → Absences = 1 niveau</t>
        </is>
      </c>
      <c r="F3" s="41" t="inlineStr">
        <is>
          <t>1. employe@ demande 2 j de CP
2. manager@ (N+1) vise
3. rh@ approuve</t>
        </is>
      </c>
      <c r="G3" s="41" t="inlineStr">
        <is>
          <t>Statut passe « Visa N+1 » puis « Approuvée » ; solde décompté à l'approbation RH uniquement</t>
        </is>
      </c>
      <c r="H3" s="41" t="n"/>
      <c r="I3" s="42" t="n"/>
      <c r="J3" s="41" t="n"/>
      <c r="K3" s="41" t="n"/>
      <c r="L3" s="41" t="n"/>
      <c r="M3" s="41" t="n"/>
      <c r="N3" s="41" t="n"/>
      <c r="O3" s="41" t="inlineStr">
        <is>
          <t>Recette 10/2026</t>
        </is>
      </c>
      <c r="P3" s="41" t="inlineStr">
        <is>
          <t>Production</t>
        </is>
      </c>
    </row>
    <row r="4" ht="58" customHeight="1">
      <c r="A4" s="76" t="inlineStr">
        <is>
          <t>WF-002</t>
        </is>
      </c>
      <c r="B4" s="40" t="inlineStr">
        <is>
          <t>P1 — Critique</t>
        </is>
      </c>
      <c r="C4" s="43" t="inlineStr">
        <is>
          <t>Absence — circuit 2 niveaux (N+1 → N+2 → RH)</t>
        </is>
      </c>
      <c r="D4" s="43" t="inlineStr">
        <is>
          <t>Visas hiérarchiques successifs.</t>
        </is>
      </c>
      <c r="E4" s="43" t="inlineStr">
        <is>
          <t>Workflow absences = 2 niveaux ; N+2 existant</t>
        </is>
      </c>
      <c r="F4" s="43" t="inlineStr">
        <is>
          <t>1. Demande employe@
2. N+1 vise
3. rh@ tente d'approuver avant N+2
4. N+2 vise, rh@ approuve</t>
        </is>
      </c>
      <c r="G4" s="43" t="inlineStr">
        <is>
          <t>rh@ ne voit pas la demande (ou ne peut pas agir) tant que N+2 n'a pas visé ; ensuite approbation OK</t>
        </is>
      </c>
      <c r="H4" s="43" t="n"/>
      <c r="I4" s="42" t="n"/>
      <c r="J4" s="43" t="n"/>
      <c r="K4" s="43" t="n"/>
      <c r="L4" s="43" t="n"/>
      <c r="M4" s="43" t="n"/>
      <c r="N4" s="43" t="n"/>
      <c r="O4" s="43" t="inlineStr">
        <is>
          <t>Recette 10/2026</t>
        </is>
      </c>
      <c r="P4" s="43" t="inlineStr">
        <is>
          <t>Production</t>
        </is>
      </c>
    </row>
    <row r="5" ht="58" customHeight="1">
      <c r="A5" s="76" t="inlineStr">
        <is>
          <t>WF-003</t>
        </is>
      </c>
      <c r="B5" s="44" t="inlineStr">
        <is>
          <t>P2 — Haute</t>
        </is>
      </c>
      <c r="C5" s="41" t="inlineStr">
        <is>
          <t>Absence — niveau hiérarchique inexistant sauté</t>
        </is>
      </c>
      <c r="D5" s="41" t="inlineStr">
        <is>
          <t>Pas de N+2 → étape sautée.</t>
        </is>
      </c>
      <c r="E5" s="41" t="inlineStr">
        <is>
          <t>Workflow 2 niveaux ; salarié dont le N+1 n'a pas de manager</t>
        </is>
      </c>
      <c r="F5" s="41" t="inlineStr">
        <is>
          <t>1. Demande
2. N+1 vise</t>
        </is>
      </c>
      <c r="G5" s="41" t="inlineStr">
        <is>
          <t>Demande passe directement à la RH</t>
        </is>
      </c>
      <c r="H5" s="41" t="n"/>
      <c r="I5" s="42" t="n"/>
      <c r="J5" s="41" t="n"/>
      <c r="K5" s="41" t="n"/>
      <c r="L5" s="41" t="n"/>
      <c r="M5" s="41" t="n"/>
      <c r="N5" s="41" t="n"/>
      <c r="O5" s="41" t="inlineStr">
        <is>
          <t>Recette 10/2026</t>
        </is>
      </c>
      <c r="P5" s="41" t="inlineStr">
        <is>
          <t>Production</t>
        </is>
      </c>
    </row>
    <row r="6" ht="58" customHeight="1">
      <c r="A6" s="76" t="inlineStr">
        <is>
          <t>WF-004</t>
        </is>
      </c>
      <c r="B6" s="44" t="inlineStr">
        <is>
          <t>P2 — Haute</t>
        </is>
      </c>
      <c r="C6" s="43" t="inlineStr">
        <is>
          <t>Absence saisie par le responsable — vaut visa</t>
        </is>
      </c>
      <c r="D6" s="43" t="inlineStr">
        <is>
          <t>Un responsable qui saisit pour son équipe vaut visa de son niveau.</t>
        </is>
      </c>
      <c r="E6" s="43" t="inlineStr">
        <is>
          <t>manager@sotra.ci (manager, « Chef Dépôt »)</t>
        </is>
      </c>
      <c r="F6" s="43" t="inlineStr">
        <is>
          <t>1. manager@ saisit une absence pour un N-1</t>
        </is>
      </c>
      <c r="G6" s="43" t="inlineStr">
        <is>
          <t>Étape N+1 marquée visée automatiquement, demande chez le niveau suivant</t>
        </is>
      </c>
      <c r="H6" s="43" t="n"/>
      <c r="I6" s="42" t="n"/>
      <c r="J6" s="43" t="n"/>
      <c r="K6" s="43" t="n"/>
      <c r="L6" s="43" t="n"/>
      <c r="M6" s="43" t="n"/>
      <c r="N6" s="43" t="n"/>
      <c r="O6" s="43" t="inlineStr">
        <is>
          <t>Recette 10/2026</t>
        </is>
      </c>
      <c r="P6" s="43" t="inlineStr">
        <is>
          <t>Production</t>
        </is>
      </c>
    </row>
    <row r="7" ht="58" customHeight="1">
      <c r="A7" s="76" t="inlineStr">
        <is>
          <t>WF-005</t>
        </is>
      </c>
      <c r="B7" s="40" t="inlineStr">
        <is>
          <t>P1 — Critique</t>
        </is>
      </c>
      <c r="C7" s="41" t="inlineStr">
        <is>
          <t>Personne ne valide sa propre demande</t>
        </is>
      </c>
      <c r="D7" s="41" t="inlineStr">
        <is>
          <t>RH et managers sont aussi des salariés.</t>
        </is>
      </c>
      <c r="E7" s="41" t="inlineStr">
        <is>
          <t>rh@ dépose une absence pour lui-même</t>
        </is>
      </c>
      <c r="F7" s="41" t="inlineStr">
        <is>
          <t>1. rh@ ouvre Mes validations
2. Tente PATCH /absences/:id/approve sur sa demande</t>
        </is>
      </c>
      <c r="G7" s="41" t="inlineStr">
        <is>
          <t>Sa demande n'apparaît pas ; API 403</t>
        </is>
      </c>
      <c r="H7" s="41" t="n"/>
      <c r="I7" s="42" t="n"/>
      <c r="J7" s="41" t="n"/>
      <c r="K7" s="41" t="n"/>
      <c r="L7" s="41" t="n"/>
      <c r="M7" s="41" t="n"/>
      <c r="N7" s="41" t="n"/>
      <c r="O7" s="41" t="inlineStr">
        <is>
          <t>Recette 10/2026</t>
        </is>
      </c>
      <c r="P7" s="41" t="inlineStr">
        <is>
          <t>Production</t>
        </is>
      </c>
    </row>
    <row r="8" ht="58" customHeight="1">
      <c r="A8" s="76" t="inlineStr">
        <is>
          <t>WF-006</t>
        </is>
      </c>
      <c r="B8" s="40" t="inlineStr">
        <is>
          <t>P1 — Critique</t>
        </is>
      </c>
      <c r="C8" s="43" t="inlineStr">
        <is>
          <t>Refus à une étape hiérarchique</t>
        </is>
      </c>
      <c r="D8" s="43" t="inlineStr">
        <is>
          <t>Le refus d'un N+1 clôt la demande.</t>
        </is>
      </c>
      <c r="E8" s="43" t="inlineStr">
        <is>
          <t>Demande au niveau N+1</t>
        </is>
      </c>
      <c r="F8" s="43" t="inlineStr">
        <is>
          <t>1. manager@ refuse avec motif</t>
        </is>
      </c>
      <c r="G8" s="43" t="inlineStr">
        <is>
          <t>Statut « Refusée », motif visible par le salarié, notification, solde non décompté</t>
        </is>
      </c>
      <c r="H8" s="43" t="n"/>
      <c r="I8" s="42" t="n"/>
      <c r="J8" s="43" t="n"/>
      <c r="K8" s="43" t="n"/>
      <c r="L8" s="43" t="n"/>
      <c r="M8" s="43" t="n"/>
      <c r="N8" s="43" t="n"/>
      <c r="O8" s="43" t="inlineStr">
        <is>
          <t>Recette 10/2026</t>
        </is>
      </c>
      <c r="P8" s="43" t="inlineStr">
        <is>
          <t>Production</t>
        </is>
      </c>
    </row>
    <row r="9" ht="58" customHeight="1">
      <c r="A9" s="76" t="inlineStr">
        <is>
          <t>WF-007</t>
        </is>
      </c>
      <c r="B9" s="40" t="inlineStr">
        <is>
          <t>P1 — Critique</t>
        </is>
      </c>
      <c r="C9" s="41" t="inlineStr">
        <is>
          <t>Note de frais — circuit N+1 → RH</t>
        </is>
      </c>
      <c r="D9" s="41" t="inlineStr">
        <is>
          <t>Visibilité RH dès la soumission en lecture seule.</t>
        </is>
      </c>
      <c r="E9" s="41" t="inlineStr">
        <is>
          <t>Workflow frais = 1 niveau</t>
        </is>
      </c>
      <c r="F9" s="41" t="inlineStr">
        <is>
          <t>1. employe@ soumet une note
2. rh@ consulte Mes validations
3. manager@ vise
4. rh@ approuve</t>
        </is>
      </c>
      <c r="G9" s="41" t="inlineStr">
        <is>
          <t>rh@ voit la note en lecture seule avant le visa, actionnable après ; statut final « approuvée »</t>
        </is>
      </c>
      <c r="H9" s="41" t="n"/>
      <c r="I9" s="42" t="n"/>
      <c r="J9" s="41" t="n"/>
      <c r="K9" s="41" t="n"/>
      <c r="L9" s="41" t="n"/>
      <c r="M9" s="41" t="n"/>
      <c r="N9" s="41" t="n"/>
      <c r="O9" s="41" t="inlineStr">
        <is>
          <t>Recette 10/2026</t>
        </is>
      </c>
      <c r="P9" s="41" t="inlineStr">
        <is>
          <t>Production</t>
        </is>
      </c>
    </row>
    <row r="10" ht="58" customHeight="1">
      <c r="A10" s="76" t="inlineStr">
        <is>
          <t>WF-008</t>
        </is>
      </c>
      <c r="B10" s="44" t="inlineStr">
        <is>
          <t>P2 — Haute</t>
        </is>
      </c>
      <c r="C10" s="43" t="inlineStr">
        <is>
          <t>Échéances (SLA) — rappels popup et bannière</t>
        </is>
      </c>
      <c r="D10" s="43" t="inlineStr">
        <is>
          <t>1 j par niveau hiérarchique, 2 j pour la RH ; « échéance proche » &lt; 12 h.</t>
        </is>
      </c>
      <c r="E10" s="43" t="inlineStr">
        <is>
          <t>Demande en attente depuis &gt; 1 j chez manager@</t>
        </is>
      </c>
      <c r="F10" s="43" t="inlineStr">
        <is>
          <t>1. Se connecter manager@</t>
        </is>
      </c>
      <c r="G10" s="43" t="inlineStr">
        <is>
          <t>Popup de rappel + bannière des échéances dépassées ; demande marquée en retard dans Mes validations</t>
        </is>
      </c>
      <c r="H10" s="43" t="n"/>
      <c r="I10" s="42" t="n"/>
      <c r="J10" s="43" t="n"/>
      <c r="K10" s="43" t="n"/>
      <c r="L10" s="43" t="n"/>
      <c r="M10" s="43" t="n"/>
      <c r="N10" s="43" t="n"/>
      <c r="O10" s="43" t="inlineStr">
        <is>
          <t>Recette 10/2026</t>
        </is>
      </c>
      <c r="P10" s="43" t="inlineStr">
        <is>
          <t>Production</t>
        </is>
      </c>
    </row>
    <row r="11" ht="58" customHeight="1">
      <c r="A11" s="76" t="inlineStr">
        <is>
          <t>WF-009</t>
        </is>
      </c>
      <c r="B11" s="44" t="inlineStr">
        <is>
          <t>P2 — Haute</t>
        </is>
      </c>
      <c r="C11" s="41" t="inlineStr">
        <is>
          <t>Étape RH — valideur RH désigné puis escalade</t>
        </is>
      </c>
      <c r="D11" s="41" t="inlineStr">
        <is>
          <t>À l'étape RH, le valideur désigné agit ; après échéance toute l'équipe RH peut agir.</t>
        </is>
      </c>
      <c r="E11" s="41" t="inlineStr">
        <is>
          <t>Valideur RH désigné = rh@ ; SLA RH 2 j</t>
        </is>
      </c>
      <c r="F11" s="41" t="inlineStr">
        <is>
          <t>1. chef.perso@ tente d'approuver avant l'échéance
2. Après échéance, chef.perso@ approuve</t>
        </is>
      </c>
      <c r="G11" s="41" t="inlineStr">
        <is>
          <t>Avant : refus ; après : approbation OK avec trace d'escalade</t>
        </is>
      </c>
      <c r="H11" s="41" t="n"/>
      <c r="I11" s="42" t="n"/>
      <c r="J11" s="41" t="n"/>
      <c r="K11" s="41" t="n"/>
      <c r="L11" s="41" t="n"/>
      <c r="M11" s="41" t="n"/>
      <c r="N11" s="41" t="n"/>
      <c r="O11" s="41" t="inlineStr">
        <is>
          <t>Recette 10/2026</t>
        </is>
      </c>
      <c r="P11" s="41" t="inlineStr">
        <is>
          <t>Production</t>
        </is>
      </c>
    </row>
    <row r="12" ht="58" customHeight="1">
      <c r="A12" s="76" t="inlineStr">
        <is>
          <t>WF-010</t>
        </is>
      </c>
      <c r="B12" s="40" t="inlineStr">
        <is>
          <t>P1 — Critique</t>
        </is>
      </c>
      <c r="C12" s="43" t="inlineStr">
        <is>
          <t>Mes validations — compteur et isolation</t>
        </is>
      </c>
      <c r="D12" s="43" t="inlineStr">
        <is>
          <t>GET /approvals/pending.</t>
        </is>
      </c>
      <c r="E12" s="43" t="inlineStr">
        <is>
          <t>Plusieurs demandes en attente pour différents valideurs</t>
        </is>
      </c>
      <c r="F12" s="43" t="inlineStr">
        <is>
          <t>1. Comparer Mes validations de manager@, rh@, employe@</t>
        </is>
      </c>
      <c r="G12" s="43" t="inlineStr">
        <is>
          <t>Chacun ne voit que ce qu'il doit traiter ou suivre ; employe@ liste vide ; badge du menu = nombre de demandes</t>
        </is>
      </c>
      <c r="H12" s="43" t="n"/>
      <c r="I12" s="42" t="n"/>
      <c r="J12" s="43" t="n"/>
      <c r="K12" s="43" t="n"/>
      <c r="L12" s="43" t="n"/>
      <c r="M12" s="43" t="n"/>
      <c r="N12" s="43" t="n"/>
      <c r="O12" s="43" t="inlineStr">
        <is>
          <t>Recette 10/2026</t>
        </is>
      </c>
      <c r="P12" s="43" t="inlineStr">
        <is>
          <t>Production</t>
        </is>
      </c>
    </row>
    <row r="13" ht="58" customHeight="1">
      <c r="A13" s="76" t="inlineStr">
        <is>
          <t>WF-011</t>
        </is>
      </c>
      <c r="B13" s="44" t="inlineStr">
        <is>
          <t>P2 — Haute</t>
        </is>
      </c>
      <c r="C13" s="41" t="inlineStr">
        <is>
          <t>Historique du circuit sur la demande</t>
        </is>
      </c>
      <c r="D13" s="41" t="inlineStr">
        <is>
          <t>Trail des visas.</t>
        </is>
      </c>
      <c r="E13" s="41" t="inlineStr">
        <is>
          <t>Demande approuvée en 3 étapes</t>
        </is>
      </c>
      <c r="F13" s="41" t="inlineStr">
        <is>
          <t>1. Ouvrir le détail de la demande (RH et salarié)</t>
        </is>
      </c>
      <c r="G13" s="41" t="inlineStr">
        <is>
          <t>Chaque étape : valideur nommé, date, décision, commentaire</t>
        </is>
      </c>
      <c r="H13" s="41" t="n"/>
      <c r="I13" s="42" t="n"/>
      <c r="J13" s="41" t="n"/>
      <c r="K13" s="41" t="n"/>
      <c r="L13" s="41" t="n"/>
      <c r="M13" s="41" t="n"/>
      <c r="N13" s="41" t="n"/>
      <c r="O13" s="41" t="inlineStr">
        <is>
          <t>Recette 10/2026</t>
        </is>
      </c>
      <c r="P13" s="41" t="inlineStr">
        <is>
          <t>Production</t>
        </is>
      </c>
    </row>
    <row r="14" ht="58" customHeight="1">
      <c r="A14" s="76" t="inlineStr">
        <is>
          <t>WF-012</t>
        </is>
      </c>
      <c r="B14" s="44" t="inlineStr">
        <is>
          <t>P2 — Haute</t>
        </is>
      </c>
      <c r="C14" s="43" t="inlineStr">
        <is>
          <t>Changement de paramétrage en cours de circuit</t>
        </is>
      </c>
      <c r="D14" s="43" t="inlineStr">
        <is>
          <t>Les demandes en cours restent cohérentes.</t>
        </is>
      </c>
      <c r="E14" s="43" t="inlineStr">
        <is>
          <t>Demandes en attente ; passer de 2 à 1 niveau</t>
        </is>
      </c>
      <c r="F14" s="43" t="inlineStr">
        <is>
          <t>1. Modifier le workflow
2. Consulter les demandes en cours</t>
        </is>
      </c>
      <c r="G14" s="43" t="inlineStr">
        <is>
          <t>Aucune demande bloquée ni orpheline ; circuit recalculé de façon déterministe</t>
        </is>
      </c>
      <c r="H14" s="43" t="n"/>
      <c r="I14" s="42" t="n"/>
      <c r="J14" s="43" t="n"/>
      <c r="K14" s="43" t="n"/>
      <c r="L14" s="43" t="n"/>
      <c r="M14" s="43" t="n"/>
      <c r="N14" s="43" t="n"/>
      <c r="O14" s="43" t="inlineStr">
        <is>
          <t>Recette 10/2026</t>
        </is>
      </c>
      <c r="P14" s="43" t="inlineStr">
        <is>
          <t>Production</t>
        </is>
      </c>
    </row>
    <row r="15" ht="58" customHeight="1">
      <c r="A15" s="76" t="inlineStr">
        <is>
          <t>WF-013</t>
        </is>
      </c>
      <c r="B15" s="44" t="inlineStr">
        <is>
          <t>P2 — Haute</t>
        </is>
      </c>
      <c r="C15" s="41" t="inlineStr">
        <is>
          <t>Notification à chaque étape</t>
        </is>
      </c>
      <c r="D15" s="41" t="inlineStr">
        <is>
          <t>Email/notification au valideur suivant et au demandeur.</t>
        </is>
      </c>
      <c r="E15" s="41" t="inlineStr">
        <is>
          <t>SMTP tenant opérationnel</t>
        </is>
      </c>
      <c r="F15" s="41" t="inlineStr">
        <is>
          <t>1. Faire progresser une demande de N+1 à RH</t>
        </is>
      </c>
      <c r="G15" s="41" t="inlineStr">
        <is>
          <t>Valideur suivant notifié ; demandeur notifié de la décision finale</t>
        </is>
      </c>
      <c r="H15" s="41" t="n"/>
      <c r="I15" s="42" t="n"/>
      <c r="J15" s="41" t="n"/>
      <c r="K15" s="41" t="n"/>
      <c r="L15" s="41" t="n"/>
      <c r="M15" s="41" t="n"/>
      <c r="N15" s="41" t="n"/>
      <c r="O15" s="41" t="inlineStr">
        <is>
          <t>Recette 10/2026</t>
        </is>
      </c>
      <c r="P15" s="41" t="inlineStr">
        <is>
          <t>Production</t>
        </is>
      </c>
    </row>
  </sheetData>
  <mergeCells count="1">
    <mergeCell ref="A1:P1"/>
  </mergeCells>
  <conditionalFormatting sqref="A3:P15">
    <cfRule type="expression" priority="1" dxfId="0">
      <formula>$I3="✅ Passé"</formula>
    </cfRule>
    <cfRule type="expression" priority="2" dxfId="1">
      <formula>$I3="❌ Échoué"</formula>
    </cfRule>
    <cfRule type="expression" priority="3" dxfId="2">
      <formula>$I3="⚠️ Bloqué"</formula>
    </cfRule>
    <cfRule type="expression" priority="4" dxfId="3">
      <formula>$I3="▶️ En cours"</formula>
    </cfRule>
    <cfRule type="expression" priority="5" dxfId="4">
      <formula>$I3="⬜ Non exécuté"</formula>
    </cfRule>
  </conditionalFormatting>
  <dataValidations count="3">
    <dataValidation sqref="I3:I15" showDropDown="0" showInputMessage="0" showErrorMessage="0" allowBlank="1" type="list">
      <formula1>"✅ Passé,❌ Échoué,⚠️ Bloqué,▶️ En cours,⬜ Non exécuté"</formula1>
    </dataValidation>
    <dataValidation sqref="B3:B15" showDropDown="0" showInputMessage="0" showErrorMessage="0" allowBlank="1" type="list">
      <formula1>"P1 — Critique,P2 — Haute,P3 — Moyenne,P4 — Basse"</formula1>
    </dataValidation>
    <dataValidation sqref="P3:P15" showDropDown="0" showInputMessage="0" showErrorMessage="0" allowBlank="1" type="list">
      <formula1>"Production,Preprod,Local"</formula1>
    </dataValidation>
  </dataValidation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38" customWidth="1" min="3" max="3"/>
    <col width="32" customWidth="1" min="4" max="4"/>
    <col width="30" customWidth="1" min="5" max="5"/>
    <col width="40" customWidth="1" min="6" max="6"/>
    <col width="38" customWidth="1" min="7" max="7"/>
    <col width="38" customWidth="1" min="8" max="8"/>
    <col width="18" customWidth="1" min="9" max="9"/>
    <col width="16" customWidth="1" min="10" max="10"/>
    <col width="13" customWidth="1" min="11" max="11"/>
    <col width="12" customWidth="1" min="12" max="12"/>
    <col width="24" customWidth="1" min="13" max="13"/>
    <col width="36" customWidth="1" min="14" max="14"/>
    <col width="10" customWidth="1" min="15" max="15"/>
    <col width="12" customWidth="1" min="16" max="16"/>
  </cols>
  <sheetData>
    <row r="1" ht="26" customHeight="1">
      <c r="A1" s="77" t="inlineStr">
        <is>
          <t xml:space="preserve">  TEMPS &amp; POINTAGE (BADGEUSE)  ·  10 scénarios</t>
        </is>
      </c>
    </row>
    <row r="2" ht="22" customHeight="1">
      <c r="A2" s="39" t="inlineStr">
        <is>
          <t>ID Test</t>
        </is>
      </c>
      <c r="B2" s="39" t="inlineStr">
        <is>
          <t>Priorité</t>
        </is>
      </c>
      <c r="C2" s="39" t="inlineStr">
        <is>
          <t>Titre du scénario</t>
        </is>
      </c>
      <c r="D2" s="39" t="inlineStr">
        <is>
          <t>Description / Contexte</t>
        </is>
      </c>
      <c r="E2" s="39" t="inlineStr">
        <is>
          <t>Prérequis / Données</t>
        </is>
      </c>
      <c r="F2" s="39" t="inlineStr">
        <is>
          <t>Étapes détaillées</t>
        </is>
      </c>
      <c r="G2" s="39" t="inlineStr">
        <is>
          <t>Résultat attendu</t>
        </is>
      </c>
      <c r="H2" s="39" t="inlineStr">
        <is>
          <t>Résultat obtenu</t>
        </is>
      </c>
      <c r="I2" s="39" t="inlineStr">
        <is>
          <t>Statut</t>
        </is>
      </c>
      <c r="J2" s="39" t="inlineStr">
        <is>
          <t>Testeur</t>
        </is>
      </c>
      <c r="K2" s="39" t="inlineStr">
        <is>
          <t>Date test</t>
        </is>
      </c>
      <c r="L2" s="39" t="inlineStr">
        <is>
          <t>Durée (min)</t>
        </is>
      </c>
      <c r="M2" s="39" t="inlineStr">
        <is>
          <t>Ticket / Requalification</t>
        </is>
      </c>
      <c r="N2" s="39" t="inlineStr">
        <is>
          <t>Commentaire / Amélioration</t>
        </is>
      </c>
      <c r="O2" s="39" t="inlineStr">
        <is>
          <t>Sprint</t>
        </is>
      </c>
      <c r="P2" s="39" t="inlineStr">
        <is>
          <t>Env.</t>
        </is>
      </c>
    </row>
    <row r="3" ht="58" customHeight="1">
      <c r="A3" s="78" t="inlineStr">
        <is>
          <t>TPS-001</t>
        </is>
      </c>
      <c r="B3" s="40" t="inlineStr">
        <is>
          <t>P1 — Critique</t>
        </is>
      </c>
      <c r="C3" s="41" t="inlineStr">
        <is>
          <t>Activation du module Pointage (opt-in)</t>
        </is>
      </c>
      <c r="D3" s="41" t="inlineStr">
        <is>
          <t>attendance désactivé par défaut.</t>
        </is>
      </c>
      <c r="E3" s="41" t="inlineStr">
        <is>
          <t>superadmin + admin@</t>
        </is>
      </c>
      <c r="F3" s="41" t="inlineStr">
        <is>
          <t>1. Vérifier que Badgeuse / Pointage est absent
2. Activer le module pour SOTRA
3. Recharger admin@</t>
        </is>
      </c>
      <c r="G3" s="41" t="inlineStr">
        <is>
          <t>Menu apparaît après activation ; avant : /attendance → 403</t>
        </is>
      </c>
      <c r="H3" s="41" t="n"/>
      <c r="I3" s="42" t="n"/>
      <c r="J3" s="41" t="n"/>
      <c r="K3" s="41" t="n"/>
      <c r="L3" s="41" t="n"/>
      <c r="M3" s="41" t="n"/>
      <c r="N3" s="41" t="n"/>
      <c r="O3" s="41" t="inlineStr">
        <is>
          <t>Recette 10/2026</t>
        </is>
      </c>
      <c r="P3" s="41" t="inlineStr">
        <is>
          <t>Production</t>
        </is>
      </c>
    </row>
    <row r="4" ht="58" customHeight="1">
      <c r="A4" s="78" t="inlineStr">
        <is>
          <t>TPS-002</t>
        </is>
      </c>
      <c r="B4" s="40" t="inlineStr">
        <is>
          <t>P1 — Critique</t>
        </is>
      </c>
      <c r="C4" s="43" t="inlineStr">
        <is>
          <t>Configuration du pointage</t>
        </is>
      </c>
      <c r="D4" s="43" t="inlineStr">
        <is>
          <t>GET/PUT /attendance/config (tolérance retard, règles).</t>
        </is>
      </c>
      <c r="E4" s="43" t="inlineStr">
        <is>
          <t>admin@sotra.ci</t>
        </is>
      </c>
      <c r="F4" s="43" t="inlineStr">
        <is>
          <t>1. Badgeuse / Pointage → Configuration → tolérance 10 min
2. Enregistrer</t>
        </is>
      </c>
      <c r="G4" s="43" t="inlineStr">
        <is>
          <t>Configuration persistée, appliquée au recalcul</t>
        </is>
      </c>
      <c r="H4" s="43" t="n"/>
      <c r="I4" s="42" t="n"/>
      <c r="J4" s="43" t="n"/>
      <c r="K4" s="43" t="n"/>
      <c r="L4" s="43" t="n"/>
      <c r="M4" s="43" t="n"/>
      <c r="N4" s="43" t="n"/>
      <c r="O4" s="43" t="inlineStr">
        <is>
          <t>Recette 10/2026</t>
        </is>
      </c>
      <c r="P4" s="43" t="inlineStr">
        <is>
          <t>Production</t>
        </is>
      </c>
    </row>
    <row r="5" ht="58" customHeight="1">
      <c r="A5" s="78" t="inlineStr">
        <is>
          <t>TPS-003</t>
        </is>
      </c>
      <c r="B5" s="40" t="inlineStr">
        <is>
          <t>P1 — Critique</t>
        </is>
      </c>
      <c r="C5" s="41" t="inlineStr">
        <is>
          <t>Badgeuses — ajout, test de connexion, synchronisation</t>
        </is>
      </c>
      <c r="D5" s="41" t="inlineStr">
        <is>
          <t>devices CRUD + test + sync.</t>
        </is>
      </c>
      <c r="E5" s="41" t="inlineStr">
        <is>
          <t>admin@sotra.ci</t>
        </is>
      </c>
      <c r="F5" s="41" t="inlineStr">
        <is>
          <t>1. Ajouter une badgeuse (IP/URL)
2. Tester
3. Synchroniser
4. URL interne (169.254.x / localhost)</t>
        </is>
      </c>
      <c r="G5" s="41" t="inlineStr">
        <is>
          <t>Test OK/KO explicite ; pointages importés ; URL interne refusée (anti-SSRF)</t>
        </is>
      </c>
      <c r="H5" s="41" t="n"/>
      <c r="I5" s="42" t="n"/>
      <c r="J5" s="41" t="n"/>
      <c r="K5" s="41" t="n"/>
      <c r="L5" s="41" t="n"/>
      <c r="M5" s="41" t="n"/>
      <c r="N5" s="41" t="n"/>
      <c r="O5" s="41" t="inlineStr">
        <is>
          <t>Recette 10/2026</t>
        </is>
      </c>
      <c r="P5" s="41" t="inlineStr">
        <is>
          <t>Production</t>
        </is>
      </c>
    </row>
    <row r="6" ht="58" customHeight="1">
      <c r="A6" s="78" t="inlineStr">
        <is>
          <t>TPS-004</t>
        </is>
      </c>
      <c r="B6" s="44" t="inlineStr">
        <is>
          <t>P2 — Haute</t>
        </is>
      </c>
      <c r="C6" s="43" t="inlineStr">
        <is>
          <t>Plannings horaires</t>
        </is>
      </c>
      <c r="D6" s="43" t="inlineStr">
        <is>
          <t>schedules CRUD.</t>
        </is>
      </c>
      <c r="E6" s="43" t="inlineStr">
        <is>
          <t>rh@sotra.ci (hr_manager, « Responsable Paie »)</t>
        </is>
      </c>
      <c r="F6" s="43" t="inlineStr">
        <is>
          <t>1. Créer planning 7h30-16h30 lun-sam
2. Affecter à un service</t>
        </is>
      </c>
      <c r="G6" s="43" t="inlineStr">
        <is>
          <t>Planning utilisé pour le calcul des retards</t>
        </is>
      </c>
      <c r="H6" s="43" t="n"/>
      <c r="I6" s="42" t="n"/>
      <c r="J6" s="43" t="n"/>
      <c r="K6" s="43" t="n"/>
      <c r="L6" s="43" t="n"/>
      <c r="M6" s="43" t="n"/>
      <c r="N6" s="43" t="n"/>
      <c r="O6" s="43" t="inlineStr">
        <is>
          <t>Recette 10/2026</t>
        </is>
      </c>
      <c r="P6" s="43" t="inlineStr">
        <is>
          <t>Production</t>
        </is>
      </c>
    </row>
    <row r="7" ht="58" customHeight="1">
      <c r="A7" s="78" t="inlineStr">
        <is>
          <t>TPS-005</t>
        </is>
      </c>
      <c r="B7" s="44" t="inlineStr">
        <is>
          <t>P2 — Haute</t>
        </is>
      </c>
      <c r="C7" s="41" t="inlineStr">
        <is>
          <t>Saisie manuelle d'un pointage</t>
        </is>
      </c>
      <c r="D7" s="41" t="inlineStr">
        <is>
          <t>POST /attendance/punches.</t>
        </is>
      </c>
      <c r="E7" s="41" t="inlineStr">
        <is>
          <t>chef.perso@sotra.ci (hr_officer, « Chef Personnel »)</t>
        </is>
      </c>
      <c r="F7" s="41" t="inlineStr">
        <is>
          <t>1. Ajouter un pointage oublié pour un salarié</t>
        </is>
      </c>
      <c r="G7" s="41" t="inlineStr">
        <is>
          <t>Pointage enregistré avec auteur, journée recalculée</t>
        </is>
      </c>
      <c r="H7" s="41" t="n"/>
      <c r="I7" s="42" t="n"/>
      <c r="J7" s="41" t="n"/>
      <c r="K7" s="41" t="n"/>
      <c r="L7" s="41" t="n"/>
      <c r="M7" s="41" t="n"/>
      <c r="N7" s="41" t="n"/>
      <c r="O7" s="41" t="inlineStr">
        <is>
          <t>Recette 10/2026</t>
        </is>
      </c>
      <c r="P7" s="41" t="inlineStr">
        <is>
          <t>Production</t>
        </is>
      </c>
    </row>
    <row r="8" ht="58" customHeight="1">
      <c r="A8" s="78" t="inlineStr">
        <is>
          <t>TPS-006</t>
        </is>
      </c>
      <c r="B8" s="40" t="inlineStr">
        <is>
          <t>P1 — Critique</t>
        </is>
      </c>
      <c r="C8" s="43" t="inlineStr">
        <is>
          <t>Calcul des journées et recalcul</t>
        </is>
      </c>
      <c r="D8" s="43" t="inlineStr">
        <is>
          <t>days + recompute.</t>
        </is>
      </c>
      <c r="E8" s="43" t="inlineStr">
        <is>
          <t>Pointages d'une semaine</t>
        </is>
      </c>
      <c r="F8" s="43" t="inlineStr">
        <is>
          <t>1. Journées → semaine
2. Recalculer</t>
        </is>
      </c>
      <c r="G8" s="43" t="inlineStr">
        <is>
          <t>Présence, retard, absence injustifiée par jour cohérents avec planning et absences approuvées (congé ≠ absence injustifiée)</t>
        </is>
      </c>
      <c r="H8" s="43" t="n"/>
      <c r="I8" s="42" t="n"/>
      <c r="J8" s="43" t="n"/>
      <c r="K8" s="43" t="n"/>
      <c r="L8" s="43" t="n"/>
      <c r="M8" s="43" t="n"/>
      <c r="N8" s="43" t="n"/>
      <c r="O8" s="43" t="inlineStr">
        <is>
          <t>Recette 10/2026</t>
        </is>
      </c>
      <c r="P8" s="43" t="inlineStr">
        <is>
          <t>Production</t>
        </is>
      </c>
    </row>
    <row r="9" ht="58" customHeight="1">
      <c r="A9" s="78" t="inlineStr">
        <is>
          <t>TPS-007</t>
        </is>
      </c>
      <c r="B9" s="44" t="inlineStr">
        <is>
          <t>P2 — Haute</t>
        </is>
      </c>
      <c r="C9" s="41" t="inlineStr">
        <is>
          <t>Avertissements de retard / absence</t>
        </is>
      </c>
      <c r="D9" s="41" t="inlineStr">
        <is>
          <t>warnings : génération, escalade, réponse salarié.</t>
        </is>
      </c>
      <c r="E9" s="41" t="inlineStr">
        <is>
          <t>Retards répétés</t>
        </is>
      </c>
      <c r="F9" s="41" t="inlineStr">
        <is>
          <t>1. Liste des avertissements
2. Clore un avertissement après réponse du salarié</t>
        </is>
      </c>
      <c r="G9" s="41" t="inlineStr">
        <is>
          <t>Avertissement visible du salarié ; réponse tracée ; aucune sanction pécuniaire automatique</t>
        </is>
      </c>
      <c r="H9" s="41" t="n"/>
      <c r="I9" s="42" t="n"/>
      <c r="J9" s="41" t="n"/>
      <c r="K9" s="41" t="n"/>
      <c r="L9" s="41" t="n"/>
      <c r="M9" s="41" t="n"/>
      <c r="N9" s="41" t="n"/>
      <c r="O9" s="41" t="inlineStr">
        <is>
          <t>Recette 10/2026</t>
        </is>
      </c>
      <c r="P9" s="41" t="inlineStr">
        <is>
          <t>Production</t>
        </is>
      </c>
    </row>
    <row r="10" ht="58" customHeight="1">
      <c r="A10" s="78" t="inlineStr">
        <is>
          <t>TPS-008</t>
        </is>
      </c>
      <c r="B10" s="44" t="inlineStr">
        <is>
          <t>P2 — Haute</t>
        </is>
      </c>
      <c r="C10" s="43" t="inlineStr">
        <is>
          <t>Tableau de bord du pointage</t>
        </is>
      </c>
      <c r="D10" s="43" t="inlineStr">
        <is>
          <t>GET /attendance/dashboard.</t>
        </is>
      </c>
      <c r="E10" s="43" t="inlineStr">
        <is>
          <t>rh@sotra.ci (hr_manager, « Responsable Paie »)</t>
        </is>
      </c>
      <c r="F10" s="43" t="inlineStr">
        <is>
          <t>1. Pointage → Tableau de bord</t>
        </is>
      </c>
      <c r="G10" s="43" t="inlineStr">
        <is>
          <t>Présents, retards, absents du jour cohérents</t>
        </is>
      </c>
      <c r="H10" s="43" t="n"/>
      <c r="I10" s="42" t="n"/>
      <c r="J10" s="43" t="n"/>
      <c r="K10" s="43" t="n"/>
      <c r="L10" s="43" t="n"/>
      <c r="M10" s="43" t="n"/>
      <c r="N10" s="43" t="n"/>
      <c r="O10" s="43" t="inlineStr">
        <is>
          <t>Recette 10/2026</t>
        </is>
      </c>
      <c r="P10" s="43" t="inlineStr">
        <is>
          <t>Production</t>
        </is>
      </c>
    </row>
    <row r="11" ht="58" customHeight="1">
      <c r="A11" s="78" t="inlineStr">
        <is>
          <t>TPS-009</t>
        </is>
      </c>
      <c r="B11" s="40" t="inlineStr">
        <is>
          <t>P1 — Critique</t>
        </is>
      </c>
      <c r="C11" s="41" t="inlineStr">
        <is>
          <t>Lien paie — paramétrage payroll_link</t>
        </is>
      </c>
      <c r="D11" s="41" t="inlineStr">
        <is>
          <t>AttendancePayrollLinkCard, désactivé par défaut.</t>
        </is>
      </c>
      <c r="E11" s="41" t="inlineStr">
        <is>
          <t>admin@sotra.ci</t>
        </is>
      </c>
      <c r="F11" s="41" t="inlineStr">
        <is>
          <t>1. Pointage → Lien avec la paie → activer retenues absences et retards
2. Enregistrer</t>
        </is>
      </c>
      <c r="G11" s="41" t="inlineStr">
        <is>
          <t>Paramètres persistés ; voir PAY pour l'effet sur le bulletin (lignes 1010/1020)</t>
        </is>
      </c>
      <c r="H11" s="41" t="n"/>
      <c r="I11" s="42" t="n"/>
      <c r="J11" s="41" t="n"/>
      <c r="K11" s="41" t="n"/>
      <c r="L11" s="41" t="n"/>
      <c r="M11" s="41" t="n"/>
      <c r="N11" s="41" t="n"/>
      <c r="O11" s="41" t="inlineStr">
        <is>
          <t>Recette 10/2026</t>
        </is>
      </c>
      <c r="P11" s="41" t="inlineStr">
        <is>
          <t>Production</t>
        </is>
      </c>
    </row>
    <row r="12" ht="58" customHeight="1">
      <c r="A12" s="78" t="inlineStr">
        <is>
          <t>TPS-010</t>
        </is>
      </c>
      <c r="B12" s="40" t="inlineStr">
        <is>
          <t>P1 — Critique</t>
        </is>
      </c>
      <c r="C12" s="43" t="inlineStr">
        <is>
          <t>Pointage — RBAC</t>
        </is>
      </c>
      <c r="D12" s="43" t="inlineStr">
        <is>
          <t>Configuration admin, lecture manager sur son équipe.</t>
        </is>
      </c>
      <c r="E12" s="43" t="inlineStr">
        <is>
          <t>manager@sotra.ci (manager, « Chef Dépôt ») et employe@sotra.ci (Kouassi Coulibaly)</t>
        </is>
      </c>
      <c r="F12" s="43" t="inlineStr">
        <is>
          <t>1. manager@ consulte les journées
2. employe@ appelle GET /attendance/days</t>
        </is>
      </c>
      <c r="G12" s="43" t="inlineStr">
        <is>
          <t>manager : son équipe uniquement ; employé : 403 (accès via Mes pointages)</t>
        </is>
      </c>
      <c r="H12" s="43" t="n"/>
      <c r="I12" s="42" t="n"/>
      <c r="J12" s="43" t="n"/>
      <c r="K12" s="43" t="n"/>
      <c r="L12" s="43" t="n"/>
      <c r="M12" s="43" t="n"/>
      <c r="N12" s="43" t="n"/>
      <c r="O12" s="43" t="inlineStr">
        <is>
          <t>Recette 10/2026</t>
        </is>
      </c>
      <c r="P12" s="43" t="inlineStr">
        <is>
          <t>Production</t>
        </is>
      </c>
    </row>
  </sheetData>
  <mergeCells count="1">
    <mergeCell ref="A1:P1"/>
  </mergeCells>
  <conditionalFormatting sqref="A3:P12">
    <cfRule type="expression" priority="1" dxfId="0">
      <formula>$I3="✅ Passé"</formula>
    </cfRule>
    <cfRule type="expression" priority="2" dxfId="1">
      <formula>$I3="❌ Échoué"</formula>
    </cfRule>
    <cfRule type="expression" priority="3" dxfId="2">
      <formula>$I3="⚠️ Bloqué"</formula>
    </cfRule>
    <cfRule type="expression" priority="4" dxfId="3">
      <formula>$I3="▶️ En cours"</formula>
    </cfRule>
    <cfRule type="expression" priority="5" dxfId="4">
      <formula>$I3="⬜ Non exécuté"</formula>
    </cfRule>
  </conditionalFormatting>
  <dataValidations count="3">
    <dataValidation sqref="I3:I12" showDropDown="0" showInputMessage="0" showErrorMessage="0" allowBlank="1" type="list">
      <formula1>"✅ Passé,❌ Échoué,⚠️ Bloqué,▶️ En cours,⬜ Non exécuté"</formula1>
    </dataValidation>
    <dataValidation sqref="B3:B12" showDropDown="0" showInputMessage="0" showErrorMessage="0" allowBlank="1" type="list">
      <formula1>"P1 — Critique,P2 — Haute,P3 — Moyenne,P4 — Basse"</formula1>
    </dataValidation>
    <dataValidation sqref="P3:P12" showDropDown="0" showInputMessage="0" showErrorMessage="0" allowBlank="1" type="list">
      <formula1>"Production,Preprod,Local"</formula1>
    </dataValidation>
  </dataValidation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38" customWidth="1" min="3" max="3"/>
    <col width="32" customWidth="1" min="4" max="4"/>
    <col width="30" customWidth="1" min="5" max="5"/>
    <col width="40" customWidth="1" min="6" max="6"/>
    <col width="38" customWidth="1" min="7" max="7"/>
    <col width="38" customWidth="1" min="8" max="8"/>
    <col width="18" customWidth="1" min="9" max="9"/>
    <col width="16" customWidth="1" min="10" max="10"/>
    <col width="13" customWidth="1" min="11" max="11"/>
    <col width="12" customWidth="1" min="12" max="12"/>
    <col width="24" customWidth="1" min="13" max="13"/>
    <col width="36" customWidth="1" min="14" max="14"/>
    <col width="10" customWidth="1" min="15" max="15"/>
    <col width="12" customWidth="1" min="16" max="16"/>
  </cols>
  <sheetData>
    <row r="1" ht="26" customHeight="1">
      <c r="A1" s="79" t="inlineStr">
        <is>
          <t xml:space="preserve">  TALENTS &amp; ORGANISATION  ·  21 scénarios</t>
        </is>
      </c>
    </row>
    <row r="2" ht="22" customHeight="1">
      <c r="A2" s="39" t="inlineStr">
        <is>
          <t>ID Test</t>
        </is>
      </c>
      <c r="B2" s="39" t="inlineStr">
        <is>
          <t>Priorité</t>
        </is>
      </c>
      <c r="C2" s="39" t="inlineStr">
        <is>
          <t>Titre du scénario</t>
        </is>
      </c>
      <c r="D2" s="39" t="inlineStr">
        <is>
          <t>Description / Contexte</t>
        </is>
      </c>
      <c r="E2" s="39" t="inlineStr">
        <is>
          <t>Prérequis / Données</t>
        </is>
      </c>
      <c r="F2" s="39" t="inlineStr">
        <is>
          <t>Étapes détaillées</t>
        </is>
      </c>
      <c r="G2" s="39" t="inlineStr">
        <is>
          <t>Résultat attendu</t>
        </is>
      </c>
      <c r="H2" s="39" t="inlineStr">
        <is>
          <t>Résultat obtenu</t>
        </is>
      </c>
      <c r="I2" s="39" t="inlineStr">
        <is>
          <t>Statut</t>
        </is>
      </c>
      <c r="J2" s="39" t="inlineStr">
        <is>
          <t>Testeur</t>
        </is>
      </c>
      <c r="K2" s="39" t="inlineStr">
        <is>
          <t>Date test</t>
        </is>
      </c>
      <c r="L2" s="39" t="inlineStr">
        <is>
          <t>Durée (min)</t>
        </is>
      </c>
      <c r="M2" s="39" t="inlineStr">
        <is>
          <t>Ticket / Requalification</t>
        </is>
      </c>
      <c r="N2" s="39" t="inlineStr">
        <is>
          <t>Commentaire / Amélioration</t>
        </is>
      </c>
      <c r="O2" s="39" t="inlineStr">
        <is>
          <t>Sprint</t>
        </is>
      </c>
      <c r="P2" s="39" t="inlineStr">
        <is>
          <t>Env.</t>
        </is>
      </c>
    </row>
    <row r="3" ht="58" customHeight="1">
      <c r="A3" s="80" t="inlineStr">
        <is>
          <t>TAL-001</t>
        </is>
      </c>
      <c r="B3" s="40" t="inlineStr">
        <is>
          <t>P1 — Critique</t>
        </is>
      </c>
      <c r="C3" s="41" t="inlineStr">
        <is>
          <t>Organigramme — vue drill-down par équipe</t>
        </is>
      </c>
      <c r="D3" s="41" t="inlineStr">
        <is>
          <t>OrgChartPage : responsable en tête + équipe directe cliquable, fil d'Ariane.</t>
        </is>
      </c>
      <c r="E3" s="41" t="inlineStr">
        <is>
          <t>rh@sotra.ci (hr_manager, « Responsable Paie »)</t>
        </is>
      </c>
      <c r="F3" s="41" t="inlineStr">
        <is>
          <t>1. Organigramme
2. Cliquer sur un responsable, puis revenir via le fil d'Ariane</t>
        </is>
      </c>
      <c r="G3" s="41" t="inlineStr">
        <is>
          <t>Navigation fluide, effectifs exacts, aucun salarié archivé</t>
        </is>
      </c>
      <c r="H3" s="41" t="n"/>
      <c r="I3" s="42" t="n"/>
      <c r="J3" s="41" t="n"/>
      <c r="K3" s="41" t="n"/>
      <c r="L3" s="41" t="n"/>
      <c r="M3" s="41" t="n"/>
      <c r="N3" s="41" t="n"/>
      <c r="O3" s="41" t="inlineStr">
        <is>
          <t>Recette 10/2026</t>
        </is>
      </c>
      <c r="P3" s="41" t="inlineStr">
        <is>
          <t>Production</t>
        </is>
      </c>
    </row>
    <row r="4" ht="58" customHeight="1">
      <c r="A4" s="80" t="inlineStr">
        <is>
          <t>TAL-002</t>
        </is>
      </c>
      <c r="B4" s="44" t="inlineStr">
        <is>
          <t>P2 — Haute</t>
        </is>
      </c>
      <c r="C4" s="43" t="inlineStr">
        <is>
          <t>Organigramme — vue par départements</t>
        </is>
      </c>
      <c r="D4" s="43" t="inlineStr">
        <is>
          <t>GET /org-chart/departments.</t>
        </is>
      </c>
      <c r="E4" s="43" t="inlineStr">
        <is>
          <t>rh@sotra.ci (hr_manager, « Responsable Paie »)</t>
        </is>
      </c>
      <c r="F4" s="43" t="inlineStr">
        <is>
          <t>1. Organigramme → Départements</t>
        </is>
      </c>
      <c r="G4" s="43" t="inlineStr">
        <is>
          <t>Chaque département avec son responsable et son effectif</t>
        </is>
      </c>
      <c r="H4" s="43" t="n"/>
      <c r="I4" s="42" t="n"/>
      <c r="J4" s="43" t="n"/>
      <c r="K4" s="43" t="n"/>
      <c r="L4" s="43" t="n"/>
      <c r="M4" s="43" t="n"/>
      <c r="N4" s="43" t="n"/>
      <c r="O4" s="43" t="inlineStr">
        <is>
          <t>Recette 10/2026</t>
        </is>
      </c>
      <c r="P4" s="43" t="inlineStr">
        <is>
          <t>Production</t>
        </is>
      </c>
    </row>
    <row r="5" ht="58" customHeight="1">
      <c r="A5" s="80" t="inlineStr">
        <is>
          <t>TAL-003</t>
        </is>
      </c>
      <c r="B5" s="44" t="inlineStr">
        <is>
          <t>P2 — Haute</t>
        </is>
      </c>
      <c r="C5" s="41" t="inlineStr">
        <is>
          <t>Organigramme — export PDF / SVG</t>
        </is>
      </c>
      <c r="D5" s="41" t="inlineStr">
        <is>
          <t>export.pdf / export.svg.</t>
        </is>
      </c>
      <c r="E5" s="41" t="inlineStr">
        <is>
          <t>rh@sotra.ci (hr_manager, « Responsable Paie »)</t>
        </is>
      </c>
      <c r="F5" s="41" t="inlineStr">
        <is>
          <t>1. Exporter en PDF puis SVG</t>
        </is>
      </c>
      <c r="G5" s="41" t="inlineStr">
        <is>
          <t>Fichiers lisibles, noms et fonctions corrects, accents préservés</t>
        </is>
      </c>
      <c r="H5" s="41" t="n"/>
      <c r="I5" s="42" t="n"/>
      <c r="J5" s="41" t="n"/>
      <c r="K5" s="41" t="n"/>
      <c r="L5" s="41" t="n"/>
      <c r="M5" s="41" t="n"/>
      <c r="N5" s="41" t="n"/>
      <c r="O5" s="41" t="inlineStr">
        <is>
          <t>Recette 10/2026</t>
        </is>
      </c>
      <c r="P5" s="41" t="inlineStr">
        <is>
          <t>Production</t>
        </is>
      </c>
    </row>
    <row r="6" ht="58" customHeight="1">
      <c r="A6" s="80" t="inlineStr">
        <is>
          <t>TAL-004</t>
        </is>
      </c>
      <c r="B6" s="44" t="inlineStr">
        <is>
          <t>P2 — Haute</t>
        </is>
      </c>
      <c r="C6" s="43" t="inlineStr">
        <is>
          <t>Organigramme — périmètre manager / employé</t>
        </is>
      </c>
      <c r="D6" s="43" t="inlineStr">
        <is>
          <t>Lecture admin, RH, manager, readonly.</t>
        </is>
      </c>
      <c r="E6" s="43" t="inlineStr">
        <is>
          <t>manager@sotra.ci (manager, « Chef Dépôt ») et employe@sotra.ci (Kouassi Coulibaly)</t>
        </is>
      </c>
      <c r="F6" s="43" t="inlineStr">
        <is>
          <t>1. manager@ ouvre l'organigramme
2. employe@ appelle /org-chart/reporting</t>
        </is>
      </c>
      <c r="G6" s="43" t="inlineStr">
        <is>
          <t>Manager : vue autorisée ; employé : 403</t>
        </is>
      </c>
      <c r="H6" s="43" t="n"/>
      <c r="I6" s="42" t="n"/>
      <c r="J6" s="43" t="n"/>
      <c r="K6" s="43" t="n"/>
      <c r="L6" s="43" t="n"/>
      <c r="M6" s="43" t="n"/>
      <c r="N6" s="43" t="n"/>
      <c r="O6" s="43" t="inlineStr">
        <is>
          <t>Recette 10/2026</t>
        </is>
      </c>
      <c r="P6" s="43" t="inlineStr">
        <is>
          <t>Production</t>
        </is>
      </c>
    </row>
    <row r="7" ht="58" customHeight="1">
      <c r="A7" s="80" t="inlineStr">
        <is>
          <t>TAL-005</t>
        </is>
      </c>
      <c r="B7" s="40" t="inlineStr">
        <is>
          <t>P1 — Critique</t>
        </is>
      </c>
      <c r="C7" s="41" t="inlineStr">
        <is>
          <t>Discipline — création d'une sanction</t>
        </is>
      </c>
      <c r="D7" s="41" t="inlineStr">
        <is>
          <t>Sanctions (avertissement, blâme, mise à pied, licenciement).</t>
        </is>
      </c>
      <c r="E7" s="41" t="inlineStr">
        <is>
          <t>chef.perso@sotra.ci (hr_officer, « Chef Personnel »)</t>
        </is>
      </c>
      <c r="F7" s="41" t="inlineStr">
        <is>
          <t>1. Discipline → Nouvelle procédure → salarié, type avertissement, faits, date
2. Enregistrer</t>
        </is>
      </c>
      <c r="G7" s="41" t="inlineStr">
        <is>
          <t>Procédure créée au statut initial, visible dans la liste</t>
        </is>
      </c>
      <c r="H7" s="41" t="n"/>
      <c r="I7" s="42" t="n"/>
      <c r="J7" s="41" t="n"/>
      <c r="K7" s="41" t="n"/>
      <c r="L7" s="41" t="n"/>
      <c r="M7" s="41" t="n"/>
      <c r="N7" s="41" t="n"/>
      <c r="O7" s="41" t="inlineStr">
        <is>
          <t>Recette 10/2026</t>
        </is>
      </c>
      <c r="P7" s="41" t="inlineStr">
        <is>
          <t>Production</t>
        </is>
      </c>
    </row>
    <row r="8" ht="58" customHeight="1">
      <c r="A8" s="80" t="inlineStr">
        <is>
          <t>TAL-006</t>
        </is>
      </c>
      <c r="B8" s="40" t="inlineStr">
        <is>
          <t>P1 — Critique</t>
        </is>
      </c>
      <c r="C8" s="43" t="inlineStr">
        <is>
          <t>Discipline — transitions de statut</t>
        </is>
      </c>
      <c r="D8" s="43" t="inlineStr">
        <is>
          <t>Transitions autorisées uniquement.</t>
        </is>
      </c>
      <c r="E8" s="43" t="inlineStr">
        <is>
          <t>Procédure ouverte</t>
        </is>
      </c>
      <c r="F8" s="43" t="inlineStr">
        <is>
          <t>1. Convocation → entretien → notification
2. Tenter de rouvrir une procédure close</t>
        </is>
      </c>
      <c r="G8" s="43" t="inlineStr">
        <is>
          <t>Transitions valides acceptées, invalides refusées avec message</t>
        </is>
      </c>
      <c r="H8" s="43" t="n"/>
      <c r="I8" s="42" t="n"/>
      <c r="J8" s="43" t="n"/>
      <c r="K8" s="43" t="n"/>
      <c r="L8" s="43" t="n"/>
      <c r="M8" s="43" t="n"/>
      <c r="N8" s="43" t="n"/>
      <c r="O8" s="43" t="inlineStr">
        <is>
          <t>Recette 10/2026</t>
        </is>
      </c>
      <c r="P8" s="43" t="inlineStr">
        <is>
          <t>Production</t>
        </is>
      </c>
    </row>
    <row r="9" ht="58" customHeight="1">
      <c r="A9" s="80" t="inlineStr">
        <is>
          <t>TAL-007</t>
        </is>
      </c>
      <c r="B9" s="44" t="inlineStr">
        <is>
          <t>P2 — Haute</t>
        </is>
      </c>
      <c r="C9" s="41" t="inlineStr">
        <is>
          <t>Discipline — aucun accès salarié aux dossiers disciplinaires</t>
        </is>
      </c>
      <c r="D9" s="41" t="inlineStr">
        <is>
          <t>Les dossiers disciplinaires (niveau 4) ne sont pas exposés en self-service ; « Mes avertissements » ne concerne que le pointage.</t>
        </is>
      </c>
      <c r="E9" s="41" t="inlineStr">
        <is>
          <t>employe@sotra.ci (Kouassi Coulibaly)</t>
        </is>
      </c>
      <c r="F9" s="41" t="inlineStr">
        <is>
          <t>1. Appeler GET /discipline et GET /discipline/:id d'une procédure le concernant
2. Ouvrir Mon espace → Avertissements</t>
        </is>
      </c>
      <c r="G9" s="41" t="inlineStr">
        <is>
          <t>403 sur l'API discipline ; Mes avertissements n'affiche que les avertissements de pointage</t>
        </is>
      </c>
      <c r="H9" s="41" t="n"/>
      <c r="I9" s="42" t="n"/>
      <c r="J9" s="41" t="n"/>
      <c r="K9" s="41" t="n"/>
      <c r="L9" s="41" t="n"/>
      <c r="M9" s="41" t="n"/>
      <c r="N9" s="41" t="n"/>
      <c r="O9" s="41" t="inlineStr">
        <is>
          <t>Recette 10/2026</t>
        </is>
      </c>
      <c r="P9" s="41" t="inlineStr">
        <is>
          <t>Production</t>
        </is>
      </c>
    </row>
    <row r="10" ht="58" customHeight="1">
      <c r="A10" s="80" t="inlineStr">
        <is>
          <t>TAL-008</t>
        </is>
      </c>
      <c r="B10" s="40" t="inlineStr">
        <is>
          <t>P1 — Critique</t>
        </is>
      </c>
      <c r="C10" s="43" t="inlineStr">
        <is>
          <t>Discipline — accès restreint</t>
        </is>
      </c>
      <c r="D10" s="43" t="inlineStr">
        <is>
          <t>Lecture admin/hr_manager/hr_officer ; suppression admin/hr_manager.</t>
        </is>
      </c>
      <c r="E10" s="43" t="inlineStr">
        <is>
          <t>manager@sotra.ci (manager, « Chef Dépôt ») et chef.perso@sotra.ci (hr_officer, « Chef Personnel »)</t>
        </is>
      </c>
      <c r="F10" s="43" t="inlineStr">
        <is>
          <t>1. manager@ → GET /discipline
2. chef.perso@ → DELETE /discipline/:id</t>
        </is>
      </c>
      <c r="G10" s="43" t="inlineStr">
        <is>
          <t>manager → 403 ; hr_officer suppression → 403</t>
        </is>
      </c>
      <c r="H10" s="43" t="n"/>
      <c r="I10" s="42" t="n"/>
      <c r="J10" s="43" t="n"/>
      <c r="K10" s="43" t="n"/>
      <c r="L10" s="43" t="n"/>
      <c r="M10" s="43" t="n"/>
      <c r="N10" s="43" t="n"/>
      <c r="O10" s="43" t="inlineStr">
        <is>
          <t>Recette 10/2026</t>
        </is>
      </c>
      <c r="P10" s="43" t="inlineStr">
        <is>
          <t>Production</t>
        </is>
      </c>
    </row>
    <row r="11" ht="58" customHeight="1">
      <c r="A11" s="80" t="inlineStr">
        <is>
          <t>TAL-009</t>
        </is>
      </c>
      <c r="B11" s="40" t="inlineStr">
        <is>
          <t>P1 — Critique</t>
        </is>
      </c>
      <c r="C11" s="41" t="inlineStr">
        <is>
          <t>Succession — plan pour un poste clé</t>
        </is>
      </c>
      <c r="D11" s="41" t="inlineStr">
        <is>
          <t>Plans + viviers + readiness.</t>
        </is>
      </c>
      <c r="E11" s="41" t="inlineStr">
        <is>
          <t>rh@sotra.ci (hr_manager, « Responsable Paie »)</t>
        </is>
      </c>
      <c r="F11" s="41" t="inlineStr">
        <is>
          <t>1. Succession → Nouveau plan « Directeur d'exploitation »
2. Ajouter 2 candidats (prêt maintenant / 1-2 ans)</t>
        </is>
      </c>
      <c r="G11" s="41" t="inlineStr">
        <is>
          <t>Plan créé, candidats avec readiness ; poste sans successeur prêt signalé « à risque »</t>
        </is>
      </c>
      <c r="H11" s="41" t="n"/>
      <c r="I11" s="42" t="n"/>
      <c r="J11" s="41" t="n"/>
      <c r="K11" s="41" t="n"/>
      <c r="L11" s="41" t="n"/>
      <c r="M11" s="41" t="n"/>
      <c r="N11" s="41" t="n"/>
      <c r="O11" s="41" t="inlineStr">
        <is>
          <t>Recette 10/2026</t>
        </is>
      </c>
      <c r="P11" s="41" t="inlineStr">
        <is>
          <t>Production</t>
        </is>
      </c>
    </row>
    <row r="12" ht="58" customHeight="1">
      <c r="A12" s="80" t="inlineStr">
        <is>
          <t>TAL-010</t>
        </is>
      </c>
      <c r="B12" s="44" t="inlineStr">
        <is>
          <t>P2 — Haute</t>
        </is>
      </c>
      <c r="C12" s="43" t="inlineStr">
        <is>
          <t>Succession — synthèse de couverture</t>
        </is>
      </c>
      <c r="D12" s="43" t="inlineStr">
        <is>
          <t>summarizeCoverage (atRisk).</t>
        </is>
      </c>
      <c r="E12" s="43" t="inlineStr">
        <is>
          <t>Plusieurs plans</t>
        </is>
      </c>
      <c r="F12" s="43" t="inlineStr">
        <is>
          <t>1. Succession → Synthèse</t>
        </is>
      </c>
      <c r="G12" s="43" t="inlineStr">
        <is>
          <t>Nombre de postes couverts / à risque exact</t>
        </is>
      </c>
      <c r="H12" s="43" t="n"/>
      <c r="I12" s="42" t="n"/>
      <c r="J12" s="43" t="n"/>
      <c r="K12" s="43" t="n"/>
      <c r="L12" s="43" t="n"/>
      <c r="M12" s="43" t="n"/>
      <c r="N12" s="43" t="n"/>
      <c r="O12" s="43" t="inlineStr">
        <is>
          <t>Recette 10/2026</t>
        </is>
      </c>
      <c r="P12" s="43" t="inlineStr">
        <is>
          <t>Production</t>
        </is>
      </c>
    </row>
    <row r="13" ht="58" customHeight="1">
      <c r="A13" s="80" t="inlineStr">
        <is>
          <t>TAL-011</t>
        </is>
      </c>
      <c r="B13" s="40" t="inlineStr">
        <is>
          <t>P1 — Critique</t>
        </is>
      </c>
      <c r="C13" s="41" t="inlineStr">
        <is>
          <t>Référentiel compétences — catalogue (taxonomie de Bloom 1-6)</t>
        </is>
      </c>
      <c r="D13" s="41" t="inlineStr">
        <is>
          <t>competency_framework.</t>
        </is>
      </c>
      <c r="E13" s="41" t="inlineStr">
        <is>
          <t>rh@sotra.ci (hr_manager, « Responsable Paie »)</t>
        </is>
      </c>
      <c r="F13" s="41" t="inlineStr">
        <is>
          <t>1. Postes &amp; compétences → Catalogue → nouvelle compétence
2. Niveau 7</t>
        </is>
      </c>
      <c r="G13" s="41" t="inlineStr">
        <is>
          <t>Compétence créée ; niveau hors 1-6 refusé</t>
        </is>
      </c>
      <c r="H13" s="41" t="n"/>
      <c r="I13" s="42" t="n"/>
      <c r="J13" s="41" t="n"/>
      <c r="K13" s="41" t="n"/>
      <c r="L13" s="41" t="n"/>
      <c r="M13" s="41" t="n"/>
      <c r="N13" s="41" t="n"/>
      <c r="O13" s="41" t="inlineStr">
        <is>
          <t>Recette 10/2026</t>
        </is>
      </c>
      <c r="P13" s="41" t="inlineStr">
        <is>
          <t>Production</t>
        </is>
      </c>
    </row>
    <row r="14" ht="58" customHeight="1">
      <c r="A14" s="80" t="inlineStr">
        <is>
          <t>TAL-012</t>
        </is>
      </c>
      <c r="B14" s="40" t="inlineStr">
        <is>
          <t>P1 — Critique</t>
        </is>
      </c>
      <c r="C14" s="43" t="inlineStr">
        <is>
          <t>Fiches de poste — compétences requises</t>
        </is>
      </c>
      <c r="D14" s="43" t="inlineStr">
        <is>
          <t>job_profiles + job_profile_competencies.</t>
        </is>
      </c>
      <c r="E14" s="43" t="inlineStr">
        <is>
          <t>rh@sotra.ci (hr_manager, « Responsable Paie »)</t>
        </is>
      </c>
      <c r="F14" s="43" t="inlineStr">
        <is>
          <t>1. Nouvelle fiche « Chef de dépôt »
2. Ajouter 3 compétences avec niveau requis
3. Retirer une compétence</t>
        </is>
      </c>
      <c r="G14" s="43" t="inlineStr">
        <is>
          <t>Fiche enregistrée avec ses exigences</t>
        </is>
      </c>
      <c r="H14" s="43" t="n"/>
      <c r="I14" s="42" t="n"/>
      <c r="J14" s="43" t="n"/>
      <c r="K14" s="43" t="n"/>
      <c r="L14" s="43" t="n"/>
      <c r="M14" s="43" t="n"/>
      <c r="N14" s="43" t="n"/>
      <c r="O14" s="43" t="inlineStr">
        <is>
          <t>Recette 10/2026</t>
        </is>
      </c>
      <c r="P14" s="43" t="inlineStr">
        <is>
          <t>Production</t>
        </is>
      </c>
    </row>
    <row r="15" ht="58" customHeight="1">
      <c r="A15" s="80" t="inlineStr">
        <is>
          <t>TAL-013</t>
        </is>
      </c>
      <c r="B15" s="44" t="inlineStr">
        <is>
          <t>P2 — Haute</t>
        </is>
      </c>
      <c r="C15" s="41" t="inlineStr">
        <is>
          <t>Comparateur de postes</t>
        </is>
      </c>
      <c r="D15" s="41" t="inlineStr">
        <is>
          <t>GET /competencies/compare.</t>
        </is>
      </c>
      <c r="E15" s="41" t="inlineStr">
        <is>
          <t>2 fiches de poste</t>
        </is>
      </c>
      <c r="F15" s="41" t="inlineStr">
        <is>
          <t>1. Comparer « Chef de dépôt » et « Responsable logistique »</t>
        </is>
      </c>
      <c r="G15" s="41" t="inlineStr">
        <is>
          <t>Écarts par compétence (niveau requis A vs B) affichés</t>
        </is>
      </c>
      <c r="H15" s="41" t="n"/>
      <c r="I15" s="42" t="n"/>
      <c r="J15" s="41" t="n"/>
      <c r="K15" s="41" t="n"/>
      <c r="L15" s="41" t="n"/>
      <c r="M15" s="41" t="n"/>
      <c r="N15" s="41" t="n"/>
      <c r="O15" s="41" t="inlineStr">
        <is>
          <t>Recette 10/2026</t>
        </is>
      </c>
      <c r="P15" s="41" t="inlineStr">
        <is>
          <t>Production</t>
        </is>
      </c>
    </row>
    <row r="16" ht="58" customHeight="1">
      <c r="A16" s="80" t="inlineStr">
        <is>
          <t>TAL-014</t>
        </is>
      </c>
      <c r="B16" s="40" t="inlineStr">
        <is>
          <t>P1 — Critique</t>
        </is>
      </c>
      <c r="C16" s="43" t="inlineStr">
        <is>
          <t>Calibrage 9-box — session avant/après</t>
        </is>
      </c>
      <c r="D16" s="43" t="inlineStr">
        <is>
          <t>Sessions de calibrage performance × potentiel.</t>
        </is>
      </c>
      <c r="E16" s="43" t="inlineStr">
        <is>
          <t>rh@sotra.ci (hr_manager, « Responsable Paie »)</t>
        </is>
      </c>
      <c r="F16" s="43" t="inlineStr">
        <is>
          <t>1. Calibrage → Nouvelle session
2. Ajouter des salariés avec position initiale
3. Ajuster les positions</t>
        </is>
      </c>
      <c r="G16" s="43" t="inlineStr">
        <is>
          <t>Matrice 9-box avant/après, recommandations par case</t>
        </is>
      </c>
      <c r="H16" s="43" t="n"/>
      <c r="I16" s="42" t="n"/>
      <c r="J16" s="43" t="n"/>
      <c r="K16" s="43" t="n"/>
      <c r="L16" s="43" t="n"/>
      <c r="M16" s="43" t="n"/>
      <c r="N16" s="43" t="n"/>
      <c r="O16" s="43" t="inlineStr">
        <is>
          <t>Recette 10/2026</t>
        </is>
      </c>
      <c r="P16" s="43" t="inlineStr">
        <is>
          <t>Production</t>
        </is>
      </c>
    </row>
    <row r="17" ht="58" customHeight="1">
      <c r="A17" s="80" t="inlineStr">
        <is>
          <t>TAL-015</t>
        </is>
      </c>
      <c r="B17" s="44" t="inlineStr">
        <is>
          <t>P2 — Haute</t>
        </is>
      </c>
      <c r="C17" s="41" t="inlineStr">
        <is>
          <t>Calibrage — RBAC</t>
        </is>
      </c>
      <c r="D17" s="41" t="inlineStr">
        <is>
          <t>Lecture readonly, écriture RH, suppression admin/hr_manager.</t>
        </is>
      </c>
      <c r="E17" s="41" t="inlineStr">
        <is>
          <t>Compte readonly, chef.perso@</t>
        </is>
      </c>
      <c r="F17" s="41" t="inlineStr">
        <is>
          <t>1. readonly tente de modifier
2. chef.perso@ supprime une session</t>
        </is>
      </c>
      <c r="G17" s="41" t="inlineStr">
        <is>
          <t>403 dans les deux cas</t>
        </is>
      </c>
      <c r="H17" s="41" t="n"/>
      <c r="I17" s="42" t="n"/>
      <c r="J17" s="41" t="n"/>
      <c r="K17" s="41" t="n"/>
      <c r="L17" s="41" t="n"/>
      <c r="M17" s="41" t="n"/>
      <c r="N17" s="41" t="n"/>
      <c r="O17" s="41" t="inlineStr">
        <is>
          <t>Recette 10/2026</t>
        </is>
      </c>
      <c r="P17" s="41" t="inlineStr">
        <is>
          <t>Production</t>
        </is>
      </c>
    </row>
    <row r="18" ht="58" customHeight="1">
      <c r="A18" s="80" t="inlineStr">
        <is>
          <t>TAL-016</t>
        </is>
      </c>
      <c r="B18" s="40" t="inlineStr">
        <is>
          <t>P1 — Critique</t>
        </is>
      </c>
      <c r="C18" s="43" t="inlineStr">
        <is>
          <t>Mobilités — évaluation des compétences du salarié</t>
        </is>
      </c>
      <c r="D18" s="43" t="inlineStr">
        <is>
          <t>employee_competencies (Bloom évalué).</t>
        </is>
      </c>
      <c r="E18" s="43" t="inlineStr">
        <is>
          <t>rh@sotra.ci (hr_manager, « Responsable Paie »)</t>
        </is>
      </c>
      <c r="F18" s="43" t="inlineStr">
        <is>
          <t>1. Mobilités → salarié → évaluer 3 compétences</t>
        </is>
      </c>
      <c r="G18" s="43" t="inlineStr">
        <is>
          <t>Niveaux enregistrés</t>
        </is>
      </c>
      <c r="H18" s="43" t="n"/>
      <c r="I18" s="42" t="n"/>
      <c r="J18" s="43" t="n"/>
      <c r="K18" s="43" t="n"/>
      <c r="L18" s="43" t="n"/>
      <c r="M18" s="43" t="n"/>
      <c r="N18" s="43" t="n"/>
      <c r="O18" s="43" t="inlineStr">
        <is>
          <t>Recette 10/2026</t>
        </is>
      </c>
      <c r="P18" s="43" t="inlineStr">
        <is>
          <t>Production</t>
        </is>
      </c>
    </row>
    <row r="19" ht="58" customHeight="1">
      <c r="A19" s="80" t="inlineStr">
        <is>
          <t>TAL-017</t>
        </is>
      </c>
      <c r="B19" s="40" t="inlineStr">
        <is>
          <t>P1 — Critique</t>
        </is>
      </c>
      <c r="C19" s="41" t="inlineStr">
        <is>
          <t>Mobilités — analyse d'écart salarié ↔ poste</t>
        </is>
      </c>
      <c r="D19" s="41" t="inlineStr">
        <is>
          <t>gapAnalysis.</t>
        </is>
      </c>
      <c r="E19" s="41" t="inlineStr">
        <is>
          <t>Salarié évalué, fiche de poste cible</t>
        </is>
      </c>
      <c r="F19" s="41" t="inlineStr">
        <is>
          <t>1. Analyse d'écart vers « Chef de dépôt »</t>
        </is>
      </c>
      <c r="G19" s="41" t="inlineStr">
        <is>
          <t>Compétences acquises/manquantes, taux d'adéquation</t>
        </is>
      </c>
      <c r="H19" s="41" t="n"/>
      <c r="I19" s="42" t="n"/>
      <c r="J19" s="41" t="n"/>
      <c r="K19" s="41" t="n"/>
      <c r="L19" s="41" t="n"/>
      <c r="M19" s="41" t="n"/>
      <c r="N19" s="41" t="n"/>
      <c r="O19" s="41" t="inlineStr">
        <is>
          <t>Recette 10/2026</t>
        </is>
      </c>
      <c r="P19" s="41" t="inlineStr">
        <is>
          <t>Production</t>
        </is>
      </c>
    </row>
    <row r="20" ht="58" customHeight="1">
      <c r="A20" s="80" t="inlineStr">
        <is>
          <t>TAL-018</t>
        </is>
      </c>
      <c r="B20" s="40" t="inlineStr">
        <is>
          <t>P1 — Critique</t>
        </is>
      </c>
      <c r="C20" s="43" t="inlineStr">
        <is>
          <t>Mobilités — demande et décision réservée DRH</t>
        </is>
      </c>
      <c r="D20" s="43" t="inlineStr">
        <is>
          <t>Workflow mobility_requests ; décision admin/hr_manager.</t>
        </is>
      </c>
      <c r="E20" s="43" t="inlineStr">
        <is>
          <t>chef.perso@sotra.ci (hr_officer, « Chef Personnel ») puis rh@sotra.ci (hr_manager, « Responsable Paie »)</t>
        </is>
      </c>
      <c r="F20" s="43" t="inlineStr">
        <is>
          <t>1. chef.perso@ crée une demande de mobilité
2. chef.perso@ tente de l'accepter
3. rh@ l'accepte</t>
        </is>
      </c>
      <c r="G20" s="43" t="inlineStr">
        <is>
          <t>hr_officer → 403 sur la décision ; rh@ OK, statut tracé</t>
        </is>
      </c>
      <c r="H20" s="43" t="n"/>
      <c r="I20" s="42" t="n"/>
      <c r="J20" s="43" t="n"/>
      <c r="K20" s="43" t="n"/>
      <c r="L20" s="43" t="n"/>
      <c r="M20" s="43" t="n"/>
      <c r="N20" s="43" t="n"/>
      <c r="O20" s="43" t="inlineStr">
        <is>
          <t>Recette 10/2026</t>
        </is>
      </c>
      <c r="P20" s="43" t="inlineStr">
        <is>
          <t>Production</t>
        </is>
      </c>
    </row>
    <row r="21" ht="58" customHeight="1">
      <c r="A21" s="80" t="inlineStr">
        <is>
          <t>TAL-019</t>
        </is>
      </c>
      <c r="B21" s="40" t="inlineStr">
        <is>
          <t>P1 — Critique</t>
        </is>
      </c>
      <c r="C21" s="41" t="inlineStr">
        <is>
          <t>Climat social — création et ouverture d'une enquête</t>
        </is>
      </c>
      <c r="D21" s="41" t="inlineStr">
        <is>
          <t>Enquêtes d'engagement.</t>
        </is>
      </c>
      <c r="E21" s="41" t="inlineStr">
        <is>
          <t>rh@sotra.ci (hr_manager, « Responsable Paie »)</t>
        </is>
      </c>
      <c r="F21" s="41" t="inlineStr">
        <is>
          <t>1. Climat social → Nouvelle enquête (5 questions)
2. Ouvrir</t>
        </is>
      </c>
      <c r="G21" s="41" t="inlineStr">
        <is>
          <t>Enquête visible dans Mon climat des salariés</t>
        </is>
      </c>
      <c r="H21" s="41" t="n"/>
      <c r="I21" s="42" t="n"/>
      <c r="J21" s="41" t="n"/>
      <c r="K21" s="41" t="n"/>
      <c r="L21" s="41" t="n"/>
      <c r="M21" s="41" t="n"/>
      <c r="N21" s="41" t="n"/>
      <c r="O21" s="41" t="inlineStr">
        <is>
          <t>Recette 10/2026</t>
        </is>
      </c>
      <c r="P21" s="41" t="inlineStr">
        <is>
          <t>Production</t>
        </is>
      </c>
    </row>
    <row r="22" ht="58" customHeight="1">
      <c r="A22" s="80" t="inlineStr">
        <is>
          <t>TAL-020</t>
        </is>
      </c>
      <c r="B22" s="40" t="inlineStr">
        <is>
          <t>P1 — Critique</t>
        </is>
      </c>
      <c r="C22" s="43" t="inlineStr">
        <is>
          <t>Climat social — résultats agrégés anonymes</t>
        </is>
      </c>
      <c r="D22" s="43" t="inlineStr">
        <is>
          <t>Jamais d'employee_id dans les résultats.</t>
        </is>
      </c>
      <c r="E22" s="43" t="inlineStr">
        <is>
          <t>Enquête avec 5 réponses</t>
        </is>
      </c>
      <c r="F22" s="43" t="inlineStr">
        <is>
          <t>1. Résultats
2. Inspecter la réponse API</t>
        </is>
      </c>
      <c r="G22" s="43" t="inlineStr">
        <is>
          <t>Agrégats uniquement ; aucune donnée individuelle ; seuil minimal de réponses respecté</t>
        </is>
      </c>
      <c r="H22" s="43" t="n"/>
      <c r="I22" s="42" t="n"/>
      <c r="J22" s="43" t="n"/>
      <c r="K22" s="43" t="n"/>
      <c r="L22" s="43" t="n"/>
      <c r="M22" s="43" t="n"/>
      <c r="N22" s="43" t="n"/>
      <c r="O22" s="43" t="inlineStr">
        <is>
          <t>Recette 10/2026</t>
        </is>
      </c>
      <c r="P22" s="43" t="inlineStr">
        <is>
          <t>Production</t>
        </is>
      </c>
    </row>
    <row r="23" ht="58" customHeight="1">
      <c r="A23" s="80" t="inlineStr">
        <is>
          <t>TAL-021</t>
        </is>
      </c>
      <c r="B23" s="44" t="inlineStr">
        <is>
          <t>P2 — Haute</t>
        </is>
      </c>
      <c r="C23" s="41" t="inlineStr">
        <is>
          <t>Climat social — clôture et suppression</t>
        </is>
      </c>
      <c r="D23" s="41" t="inlineStr">
        <is>
          <t>Suppression admin/hr_manager.</t>
        </is>
      </c>
      <c r="E23" s="41" t="inlineStr">
        <is>
          <t>Enquête close</t>
        </is>
      </c>
      <c r="F23" s="41" t="inlineStr">
        <is>
          <t>1. Clore
2. chef.perso@ tente de supprimer</t>
        </is>
      </c>
      <c r="G23" s="41" t="inlineStr">
        <is>
          <t>Plus de réponses acceptées ; hr_officer → 403</t>
        </is>
      </c>
      <c r="H23" s="41" t="n"/>
      <c r="I23" s="42" t="n"/>
      <c r="J23" s="41" t="n"/>
      <c r="K23" s="41" t="n"/>
      <c r="L23" s="41" t="n"/>
      <c r="M23" s="41" t="n"/>
      <c r="N23" s="41" t="n"/>
      <c r="O23" s="41" t="inlineStr">
        <is>
          <t>Recette 10/2026</t>
        </is>
      </c>
      <c r="P23" s="41" t="inlineStr">
        <is>
          <t>Production</t>
        </is>
      </c>
    </row>
  </sheetData>
  <mergeCells count="1">
    <mergeCell ref="A1:P1"/>
  </mergeCells>
  <conditionalFormatting sqref="A3:P23">
    <cfRule type="expression" priority="1" dxfId="0">
      <formula>$I3="✅ Passé"</formula>
    </cfRule>
    <cfRule type="expression" priority="2" dxfId="1">
      <formula>$I3="❌ Échoué"</formula>
    </cfRule>
    <cfRule type="expression" priority="3" dxfId="2">
      <formula>$I3="⚠️ Bloqué"</formula>
    </cfRule>
    <cfRule type="expression" priority="4" dxfId="3">
      <formula>$I3="▶️ En cours"</formula>
    </cfRule>
    <cfRule type="expression" priority="5" dxfId="4">
      <formula>$I3="⬜ Non exécuté"</formula>
    </cfRule>
  </conditionalFormatting>
  <dataValidations count="3">
    <dataValidation sqref="I3:I23" showDropDown="0" showInputMessage="0" showErrorMessage="0" allowBlank="1" type="list">
      <formula1>"✅ Passé,❌ Échoué,⚠️ Bloqué,▶️ En cours,⬜ Non exécuté"</formula1>
    </dataValidation>
    <dataValidation sqref="B3:B23" showDropDown="0" showInputMessage="0" showErrorMessage="0" allowBlank="1" type="list">
      <formula1>"P1 — Critique,P2 — Haute,P3 — Moyenne,P4 — Basse"</formula1>
    </dataValidation>
    <dataValidation sqref="P3:P23" showDropDown="0" showInputMessage="0" showErrorMessage="0" allowBlank="1" type="list">
      <formula1>"Production,Preprod,Local"</formula1>
    </dataValidation>
  </dataValidation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P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38" customWidth="1" min="3" max="3"/>
    <col width="32" customWidth="1" min="4" max="4"/>
    <col width="30" customWidth="1" min="5" max="5"/>
    <col width="40" customWidth="1" min="6" max="6"/>
    <col width="38" customWidth="1" min="7" max="7"/>
    <col width="38" customWidth="1" min="8" max="8"/>
    <col width="18" customWidth="1" min="9" max="9"/>
    <col width="16" customWidth="1" min="10" max="10"/>
    <col width="13" customWidth="1" min="11" max="11"/>
    <col width="12" customWidth="1" min="12" max="12"/>
    <col width="24" customWidth="1" min="13" max="13"/>
    <col width="36" customWidth="1" min="14" max="14"/>
    <col width="10" customWidth="1" min="15" max="15"/>
    <col width="12" customWidth="1" min="16" max="16"/>
  </cols>
  <sheetData>
    <row r="1" ht="26" customHeight="1">
      <c r="A1" s="81" t="inlineStr">
        <is>
          <t xml:space="preserve">  INTÉGRATION (ONBOARDING) &amp; SORTIES (OFFBOARDING)  ·  12 scénarios</t>
        </is>
      </c>
    </row>
    <row r="2" ht="22" customHeight="1">
      <c r="A2" s="39" t="inlineStr">
        <is>
          <t>ID Test</t>
        </is>
      </c>
      <c r="B2" s="39" t="inlineStr">
        <is>
          <t>Priorité</t>
        </is>
      </c>
      <c r="C2" s="39" t="inlineStr">
        <is>
          <t>Titre du scénario</t>
        </is>
      </c>
      <c r="D2" s="39" t="inlineStr">
        <is>
          <t>Description / Contexte</t>
        </is>
      </c>
      <c r="E2" s="39" t="inlineStr">
        <is>
          <t>Prérequis / Données</t>
        </is>
      </c>
      <c r="F2" s="39" t="inlineStr">
        <is>
          <t>Étapes détaillées</t>
        </is>
      </c>
      <c r="G2" s="39" t="inlineStr">
        <is>
          <t>Résultat attendu</t>
        </is>
      </c>
      <c r="H2" s="39" t="inlineStr">
        <is>
          <t>Résultat obtenu</t>
        </is>
      </c>
      <c r="I2" s="39" t="inlineStr">
        <is>
          <t>Statut</t>
        </is>
      </c>
      <c r="J2" s="39" t="inlineStr">
        <is>
          <t>Testeur</t>
        </is>
      </c>
      <c r="K2" s="39" t="inlineStr">
        <is>
          <t>Date test</t>
        </is>
      </c>
      <c r="L2" s="39" t="inlineStr">
        <is>
          <t>Durée (min)</t>
        </is>
      </c>
      <c r="M2" s="39" t="inlineStr">
        <is>
          <t>Ticket / Requalification</t>
        </is>
      </c>
      <c r="N2" s="39" t="inlineStr">
        <is>
          <t>Commentaire / Amélioration</t>
        </is>
      </c>
      <c r="O2" s="39" t="inlineStr">
        <is>
          <t>Sprint</t>
        </is>
      </c>
      <c r="P2" s="39" t="inlineStr">
        <is>
          <t>Env.</t>
        </is>
      </c>
    </row>
    <row r="3" ht="58" customHeight="1">
      <c r="A3" s="82" t="inlineStr">
        <is>
          <t>OFF-001</t>
        </is>
      </c>
      <c r="B3" s="40" t="inlineStr">
        <is>
          <t>P1 — Critique</t>
        </is>
      </c>
      <c r="C3" s="41" t="inlineStr">
        <is>
          <t>Onboarding — modèle de parcours</t>
        </is>
      </c>
      <c r="D3" s="41" t="inlineStr">
        <is>
          <t>templates CRUD.</t>
        </is>
      </c>
      <c r="E3" s="41" t="inlineStr">
        <is>
          <t>rh@sotra.ci (hr_manager, « Responsable Paie »)</t>
        </is>
      </c>
      <c r="F3" s="41" t="inlineStr">
        <is>
          <t>1. Intégration → Modèles → Nouveau « Agent d'exploitation »
2. Étapes J-7, J0, J+30 avec responsables</t>
        </is>
      </c>
      <c r="G3" s="41" t="inlineStr">
        <is>
          <t>Modèle enregistré</t>
        </is>
      </c>
      <c r="H3" s="41" t="n"/>
      <c r="I3" s="42" t="n"/>
      <c r="J3" s="41" t="n"/>
      <c r="K3" s="41" t="n"/>
      <c r="L3" s="41" t="n"/>
      <c r="M3" s="41" t="n"/>
      <c r="N3" s="41" t="n"/>
      <c r="O3" s="41" t="inlineStr">
        <is>
          <t>Recette 10/2026</t>
        </is>
      </c>
      <c r="P3" s="41" t="inlineStr">
        <is>
          <t>Production</t>
        </is>
      </c>
    </row>
    <row r="4" ht="58" customHeight="1">
      <c r="A4" s="82" t="inlineStr">
        <is>
          <t>OFF-002</t>
        </is>
      </c>
      <c r="B4" s="44" t="inlineStr">
        <is>
          <t>P2 — Haute</t>
        </is>
      </c>
      <c r="C4" s="43" t="inlineStr">
        <is>
          <t>Onboarding — génération IA d'un modèle</t>
        </is>
      </c>
      <c r="D4" s="43" t="inlineStr">
        <is>
          <t>POST /onboarding/templates/generate.</t>
        </is>
      </c>
      <c r="E4" s="43" t="inlineStr">
        <is>
          <t>IA disponible</t>
        </is>
      </c>
      <c r="F4" s="43" t="inlineStr">
        <is>
          <t>1. Générer un modèle pour « Comptable »</t>
        </is>
      </c>
      <c r="G4" s="43" t="inlineStr">
        <is>
          <t>Proposition d'étapes cohérentes, modifiable avant enregistrement</t>
        </is>
      </c>
      <c r="H4" s="43" t="n"/>
      <c r="I4" s="42" t="n"/>
      <c r="J4" s="43" t="n"/>
      <c r="K4" s="43" t="n"/>
      <c r="L4" s="43" t="n"/>
      <c r="M4" s="43" t="n"/>
      <c r="N4" s="43" t="n"/>
      <c r="O4" s="43" t="inlineStr">
        <is>
          <t>Recette 10/2026</t>
        </is>
      </c>
      <c r="P4" s="43" t="inlineStr">
        <is>
          <t>Production</t>
        </is>
      </c>
    </row>
    <row r="5" ht="58" customHeight="1">
      <c r="A5" s="82" t="inlineStr">
        <is>
          <t>OFF-003</t>
        </is>
      </c>
      <c r="B5" s="40" t="inlineStr">
        <is>
          <t>P1 — Critique</t>
        </is>
      </c>
      <c r="C5" s="41" t="inlineStr">
        <is>
          <t>Onboarding — parcours créé à l'embauche</t>
        </is>
      </c>
      <c r="D5" s="41" t="inlineStr">
        <is>
          <t>Hook employé → parcours.</t>
        </is>
      </c>
      <c r="E5" s="41" t="inlineStr">
        <is>
          <t>Modèle par défaut</t>
        </is>
      </c>
      <c r="F5" s="41" t="inlineStr">
        <is>
          <t>1. Créer un salarié
2. Intégration → Parcours</t>
        </is>
      </c>
      <c r="G5" s="41" t="inlineStr">
        <is>
          <t>Parcours créé automatiquement, échéances calculées depuis la date d'embauche</t>
        </is>
      </c>
      <c r="H5" s="41" t="n"/>
      <c r="I5" s="42" t="n"/>
      <c r="J5" s="41" t="n"/>
      <c r="K5" s="41" t="n"/>
      <c r="L5" s="41" t="n"/>
      <c r="M5" s="41" t="n"/>
      <c r="N5" s="41" t="n"/>
      <c r="O5" s="41" t="inlineStr">
        <is>
          <t>Recette 10/2026</t>
        </is>
      </c>
      <c r="P5" s="41" t="inlineStr">
        <is>
          <t>Production</t>
        </is>
      </c>
    </row>
    <row r="6" ht="58" customHeight="1">
      <c r="A6" s="82" t="inlineStr">
        <is>
          <t>OFF-004</t>
        </is>
      </c>
      <c r="B6" s="40" t="inlineStr">
        <is>
          <t>P1 — Critique</t>
        </is>
      </c>
      <c r="C6" s="43" t="inlineStr">
        <is>
          <t>Onboarding — kanban des étapes</t>
        </is>
      </c>
      <c r="D6" s="43" t="inlineStr">
        <is>
          <t>Glisser-déposer des étapes (fix Chromium/Firefox).</t>
        </is>
      </c>
      <c r="E6" s="43" t="inlineStr">
        <is>
          <t>rh@sotra.ci (hr_manager, « Responsable Paie »)</t>
        </is>
      </c>
      <c r="F6" s="43" t="inlineStr">
        <is>
          <t>1. Parcours → déplacer une étape vers « Fait » (Chrome puis Firefox)</t>
        </is>
      </c>
      <c r="G6" s="43" t="inlineStr">
        <is>
          <t>Déplacement persisté dans les deux navigateurs</t>
        </is>
      </c>
      <c r="H6" s="43" t="n"/>
      <c r="I6" s="42" t="n"/>
      <c r="J6" s="43" t="n"/>
      <c r="K6" s="43" t="n"/>
      <c r="L6" s="43" t="n"/>
      <c r="M6" s="43" t="n"/>
      <c r="N6" s="43" t="n"/>
      <c r="O6" s="43" t="inlineStr">
        <is>
          <t>Recette 10/2026</t>
        </is>
      </c>
      <c r="P6" s="43" t="inlineStr">
        <is>
          <t>Production</t>
        </is>
      </c>
    </row>
    <row r="7" ht="58" customHeight="1">
      <c r="A7" s="82" t="inlineStr">
        <is>
          <t>OFF-005</t>
        </is>
      </c>
      <c r="B7" s="44" t="inlineStr">
        <is>
          <t>P2 — Haute</t>
        </is>
      </c>
      <c r="C7" s="41" t="inlineStr">
        <is>
          <t>Onboarding — ajout/suppression d'étape</t>
        </is>
      </c>
      <c r="D7" s="41" t="inlineStr">
        <is>
          <t>steps CRUD.</t>
        </is>
      </c>
      <c r="E7" s="41" t="inlineStr">
        <is>
          <t>rh@sotra.ci (hr_manager, « Responsable Paie »)</t>
        </is>
      </c>
      <c r="F7" s="41" t="inlineStr">
        <is>
          <t>1. Ajouter une étape ad hoc
2. Supprimer</t>
        </is>
      </c>
      <c r="G7" s="41" t="inlineStr">
        <is>
          <t>Parcours mis à jour, progression recalculée</t>
        </is>
      </c>
      <c r="H7" s="41" t="n"/>
      <c r="I7" s="42" t="n"/>
      <c r="J7" s="41" t="n"/>
      <c r="K7" s="41" t="n"/>
      <c r="L7" s="41" t="n"/>
      <c r="M7" s="41" t="n"/>
      <c r="N7" s="41" t="n"/>
      <c r="O7" s="41" t="inlineStr">
        <is>
          <t>Recette 10/2026</t>
        </is>
      </c>
      <c r="P7" s="41" t="inlineStr">
        <is>
          <t>Production</t>
        </is>
      </c>
    </row>
    <row r="8" ht="58" customHeight="1">
      <c r="A8" s="82" t="inlineStr">
        <is>
          <t>OFF-006</t>
        </is>
      </c>
      <c r="B8" s="44" t="inlineStr">
        <is>
          <t>P2 — Haute</t>
        </is>
      </c>
      <c r="C8" s="43" t="inlineStr">
        <is>
          <t>Onboarding — RBAC manager/employé</t>
        </is>
      </c>
      <c r="D8" s="43" t="inlineStr">
        <is>
          <t>Manager : équipe ; employé : ses étapes.</t>
        </is>
      </c>
      <c r="E8" s="43" t="inlineStr">
        <is>
          <t>manager@sotra.ci (manager, « Chef Dépôt ») et employe@sotra.ci (Kouassi Coulibaly)</t>
        </is>
      </c>
      <c r="F8" s="43" t="inlineStr">
        <is>
          <t>1. manager@ consulte les parcours
2. employe@ PATCH une étape non assignée</t>
        </is>
      </c>
      <c r="G8" s="43" t="inlineStr">
        <is>
          <t>Manager : son équipe ; employé : 403</t>
        </is>
      </c>
      <c r="H8" s="43" t="n"/>
      <c r="I8" s="42" t="n"/>
      <c r="J8" s="43" t="n"/>
      <c r="K8" s="43" t="n"/>
      <c r="L8" s="43" t="n"/>
      <c r="M8" s="43" t="n"/>
      <c r="N8" s="43" t="n"/>
      <c r="O8" s="43" t="inlineStr">
        <is>
          <t>Recette 10/2026</t>
        </is>
      </c>
      <c r="P8" s="43" t="inlineStr">
        <is>
          <t>Production</t>
        </is>
      </c>
    </row>
    <row r="9" ht="58" customHeight="1">
      <c r="A9" s="82" t="inlineStr">
        <is>
          <t>OFF-007</t>
        </is>
      </c>
      <c r="B9" s="40" t="inlineStr">
        <is>
          <t>P1 — Critique</t>
        </is>
      </c>
      <c r="C9" s="41" t="inlineStr">
        <is>
          <t>Offboarding — ouverture d'un dossier de sortie</t>
        </is>
      </c>
      <c r="D9" s="41" t="inlineStr">
        <is>
          <t>Motifs : démission, licenciement, fin CDD, retraite.</t>
        </is>
      </c>
      <c r="E9" s="41" t="inlineStr">
        <is>
          <t>chef.perso@sotra.ci (hr_officer, « Chef Personnel »)</t>
        </is>
      </c>
      <c r="F9" s="41" t="inlineStr">
        <is>
          <t>1. Sorties → Nouveau dossier → salarié, motif démission, date de départ
2. Checklist de restitution</t>
        </is>
      </c>
      <c r="G9" s="41" t="inlineStr">
        <is>
          <t>Dossier créé, checklist (badge, matériel) suivie</t>
        </is>
      </c>
      <c r="H9" s="41" t="n"/>
      <c r="I9" s="42" t="n"/>
      <c r="J9" s="41" t="n"/>
      <c r="K9" s="41" t="n"/>
      <c r="L9" s="41" t="n"/>
      <c r="M9" s="41" t="n"/>
      <c r="N9" s="41" t="n"/>
      <c r="O9" s="41" t="inlineStr">
        <is>
          <t>Recette 10/2026</t>
        </is>
      </c>
      <c r="P9" s="41" t="inlineStr">
        <is>
          <t>Production</t>
        </is>
      </c>
    </row>
    <row r="10" ht="58" customHeight="1">
      <c r="A10" s="82" t="inlineStr">
        <is>
          <t>OFF-008</t>
        </is>
      </c>
      <c r="B10" s="40" t="inlineStr">
        <is>
          <t>P1 — Critique</t>
        </is>
      </c>
      <c r="C10" s="43" t="inlineStr">
        <is>
          <t>Offboarding — calcul du solde de tout compte</t>
        </is>
      </c>
      <c r="D10" s="43" t="inlineStr">
        <is>
          <t>Congés non pris + préavis + indemnité (Code du travail CI, progressif).</t>
        </is>
      </c>
      <c r="E10" s="43" t="inlineStr">
        <is>
          <t>Dossier ouvert</t>
        </is>
      </c>
      <c r="F10" s="43" t="inlineStr">
        <is>
          <t>1. Calculer le solde
2. Lire le détail</t>
        </is>
      </c>
      <c r="G10" s="43" t="inlineStr">
        <is>
          <t>Chaque poste détaillé avec base et règle ; postes non calculables signalés (aucune règle d'un autre pays)</t>
        </is>
      </c>
      <c r="H10" s="43" t="n"/>
      <c r="I10" s="42" t="n"/>
      <c r="J10" s="43" t="n"/>
      <c r="K10" s="43" t="n"/>
      <c r="L10" s="43" t="n"/>
      <c r="M10" s="43" t="n"/>
      <c r="N10" s="43" t="n"/>
      <c r="O10" s="43" t="inlineStr">
        <is>
          <t>Recette 10/2026</t>
        </is>
      </c>
      <c r="P10" s="43" t="inlineStr">
        <is>
          <t>Production</t>
        </is>
      </c>
    </row>
    <row r="11" ht="58" customHeight="1">
      <c r="A11" s="82" t="inlineStr">
        <is>
          <t>OFF-009</t>
        </is>
      </c>
      <c r="B11" s="40" t="inlineStr">
        <is>
          <t>P1 — Critique</t>
        </is>
      </c>
      <c r="C11" s="41" t="inlineStr">
        <is>
          <t>Offboarding — indemnité de licenciement progressive</t>
        </is>
      </c>
      <c r="D11" s="41" t="inlineStr">
        <is>
          <t>30 % (1-5 ans), 35 % (6-10 ans), 40 % (&gt; 10 ans), au prorata.</t>
        </is>
      </c>
      <c r="E11" s="41" t="inlineStr">
        <is>
          <t>Salarié 12 ans d'ancienneté, base 300 000</t>
        </is>
      </c>
      <c r="F11" s="41" t="inlineStr">
        <is>
          <t>1. Dossier licenciement → calcul</t>
        </is>
      </c>
      <c r="G11" s="41" t="inlineStr">
        <is>
          <t>Indemnité = 5 × 30 % + 5 × 35 % + 2 × 40 % du salaire de référence (au prorata des mois)</t>
        </is>
      </c>
      <c r="H11" s="41" t="n"/>
      <c r="I11" s="42" t="n"/>
      <c r="J11" s="41" t="n"/>
      <c r="K11" s="41" t="n"/>
      <c r="L11" s="41" t="n"/>
      <c r="M11" s="41" t="n"/>
      <c r="N11" s="41" t="n"/>
      <c r="O11" s="41" t="inlineStr">
        <is>
          <t>Recette 10/2026</t>
        </is>
      </c>
      <c r="P11" s="41" t="inlineStr">
        <is>
          <t>Production</t>
        </is>
      </c>
    </row>
    <row r="12" ht="58" customHeight="1">
      <c r="A12" s="82" t="inlineStr">
        <is>
          <t>OFF-010</t>
        </is>
      </c>
      <c r="B12" s="40" t="inlineStr">
        <is>
          <t>P1 — Critique</t>
        </is>
      </c>
      <c r="C12" s="43" t="inlineStr">
        <is>
          <t>Offboarding — règles de rupture du tenant (convention)</t>
        </is>
      </c>
      <c r="D12" s="43" t="inlineStr">
        <is>
          <t>Paramètres → Règles de rupture (termination-rules) prioritaires.</t>
        </is>
      </c>
      <c r="E12" s="43" t="inlineStr">
        <is>
          <t>admin@sotra.ci</t>
        </is>
      </c>
      <c r="F12" s="43" t="inlineStr">
        <is>
          <t>1. Définir un préavis conventionnel plus long
2. Recalculer un solde</t>
        </is>
      </c>
      <c r="G12" s="43" t="inlineStr">
        <is>
          <t>Règles du tenant appliquées ; à défaut pack du pays de l'employé</t>
        </is>
      </c>
      <c r="H12" s="43" t="n"/>
      <c r="I12" s="42" t="n"/>
      <c r="J12" s="43" t="n"/>
      <c r="K12" s="43" t="n"/>
      <c r="L12" s="43" t="n"/>
      <c r="M12" s="43" t="n"/>
      <c r="N12" s="43" t="n"/>
      <c r="O12" s="43" t="inlineStr">
        <is>
          <t>Recette 10/2026</t>
        </is>
      </c>
      <c r="P12" s="43" t="inlineStr">
        <is>
          <t>Production</t>
        </is>
      </c>
    </row>
    <row r="13" ht="58" customHeight="1">
      <c r="A13" s="82" t="inlineStr">
        <is>
          <t>OFF-011</t>
        </is>
      </c>
      <c r="B13" s="40" t="inlineStr">
        <is>
          <t>P1 — Critique</t>
        </is>
      </c>
      <c r="C13" s="41" t="inlineStr">
        <is>
          <t>Offboarding — clôture et archivage en cascade</t>
        </is>
      </c>
      <c r="D13" s="41" t="inlineStr">
        <is>
          <t>Clôture du dossier → employé archivé (couplage).</t>
        </is>
      </c>
      <c r="E13" s="41" t="inlineStr">
        <is>
          <t>Dossier soldé</t>
        </is>
      </c>
      <c r="F13" s="41" t="inlineStr">
        <is>
          <t>1. Clôturer le dossier</t>
        </is>
      </c>
      <c r="G13" s="41" t="inlineStr">
        <is>
          <t>Employé archivé, compte désactivé, contrats terminés ; paie du mois de sortie inclut toujours le salarié</t>
        </is>
      </c>
      <c r="H13" s="41" t="n"/>
      <c r="I13" s="42" t="n"/>
      <c r="J13" s="41" t="n"/>
      <c r="K13" s="41" t="n"/>
      <c r="L13" s="41" t="n"/>
      <c r="M13" s="41" t="n"/>
      <c r="N13" s="41" t="n"/>
      <c r="O13" s="41" t="inlineStr">
        <is>
          <t>Recette 10/2026</t>
        </is>
      </c>
      <c r="P13" s="41" t="inlineStr">
        <is>
          <t>Production</t>
        </is>
      </c>
    </row>
    <row r="14" ht="58" customHeight="1">
      <c r="A14" s="82" t="inlineStr">
        <is>
          <t>OFF-012</t>
        </is>
      </c>
      <c r="B14" s="44" t="inlineStr">
        <is>
          <t>P2 — Haute</t>
        </is>
      </c>
      <c r="C14" s="43" t="inlineStr">
        <is>
          <t>Offboarding — RBAC</t>
        </is>
      </c>
      <c r="D14" s="43" t="inlineStr">
        <is>
          <t>Lecture readonly, écriture RH, suppression admin/hr_manager.</t>
        </is>
      </c>
      <c r="E14" s="43" t="inlineStr">
        <is>
          <t>manager@sotra.ci (manager, « Chef Dépôt »)</t>
        </is>
      </c>
      <c r="F14" s="43" t="inlineStr">
        <is>
          <t>1. GET /offboarding</t>
        </is>
      </c>
      <c r="G14" s="43" t="inlineStr">
        <is>
          <t>403</t>
        </is>
      </c>
      <c r="H14" s="43" t="n"/>
      <c r="I14" s="42" t="n"/>
      <c r="J14" s="43" t="n"/>
      <c r="K14" s="43" t="n"/>
      <c r="L14" s="43" t="n"/>
      <c r="M14" s="43" t="n"/>
      <c r="N14" s="43" t="n"/>
      <c r="O14" s="43" t="inlineStr">
        <is>
          <t>Recette 10/2026</t>
        </is>
      </c>
      <c r="P14" s="43" t="inlineStr">
        <is>
          <t>Production</t>
        </is>
      </c>
    </row>
  </sheetData>
  <mergeCells count="1">
    <mergeCell ref="A1:P1"/>
  </mergeCells>
  <conditionalFormatting sqref="A3:P14">
    <cfRule type="expression" priority="1" dxfId="0">
      <formula>$I3="✅ Passé"</formula>
    </cfRule>
    <cfRule type="expression" priority="2" dxfId="1">
      <formula>$I3="❌ Échoué"</formula>
    </cfRule>
    <cfRule type="expression" priority="3" dxfId="2">
      <formula>$I3="⚠️ Bloqué"</formula>
    </cfRule>
    <cfRule type="expression" priority="4" dxfId="3">
      <formula>$I3="▶️ En cours"</formula>
    </cfRule>
    <cfRule type="expression" priority="5" dxfId="4">
      <formula>$I3="⬜ Non exécuté"</formula>
    </cfRule>
  </conditionalFormatting>
  <dataValidations count="3">
    <dataValidation sqref="I3:I14" showDropDown="0" showInputMessage="0" showErrorMessage="0" allowBlank="1" type="list">
      <formula1>"✅ Passé,❌ Échoué,⚠️ Bloqué,▶️ En cours,⬜ Non exécuté"</formula1>
    </dataValidation>
    <dataValidation sqref="B3:B14" showDropDown="0" showInputMessage="0" showErrorMessage="0" allowBlank="1" type="list">
      <formula1>"P1 — Critique,P2 — Haute,P3 — Moyenne,P4 — Basse"</formula1>
    </dataValidation>
    <dataValidation sqref="P3:P14" showDropDown="0" showInputMessage="0" showErrorMessage="0" allowBlank="1" type="list">
      <formula1>"Production,Preprod,Local"</formula1>
    </dataValidation>
  </dataValidation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P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38" customWidth="1" min="3" max="3"/>
    <col width="32" customWidth="1" min="4" max="4"/>
    <col width="30" customWidth="1" min="5" max="5"/>
    <col width="40" customWidth="1" min="6" max="6"/>
    <col width="38" customWidth="1" min="7" max="7"/>
    <col width="38" customWidth="1" min="8" max="8"/>
    <col width="18" customWidth="1" min="9" max="9"/>
    <col width="16" customWidth="1" min="10" max="10"/>
    <col width="13" customWidth="1" min="11" max="11"/>
    <col width="12" customWidth="1" min="12" max="12"/>
    <col width="24" customWidth="1" min="13" max="13"/>
    <col width="36" customWidth="1" min="14" max="14"/>
    <col width="10" customWidth="1" min="15" max="15"/>
    <col width="12" customWidth="1" min="16" max="16"/>
  </cols>
  <sheetData>
    <row r="1" ht="26" customHeight="1">
      <c r="A1" s="64" t="inlineStr">
        <is>
          <t xml:space="preserve">  INTÉGRATIONS, SIGNATURE &amp; SÉCURITÉ  ·  16 scénarios</t>
        </is>
      </c>
    </row>
    <row r="2" ht="22" customHeight="1">
      <c r="A2" s="39" t="inlineStr">
        <is>
          <t>ID Test</t>
        </is>
      </c>
      <c r="B2" s="39" t="inlineStr">
        <is>
          <t>Priorité</t>
        </is>
      </c>
      <c r="C2" s="39" t="inlineStr">
        <is>
          <t>Titre du scénario</t>
        </is>
      </c>
      <c r="D2" s="39" t="inlineStr">
        <is>
          <t>Description / Contexte</t>
        </is>
      </c>
      <c r="E2" s="39" t="inlineStr">
        <is>
          <t>Prérequis / Données</t>
        </is>
      </c>
      <c r="F2" s="39" t="inlineStr">
        <is>
          <t>Étapes détaillées</t>
        </is>
      </c>
      <c r="G2" s="39" t="inlineStr">
        <is>
          <t>Résultat attendu</t>
        </is>
      </c>
      <c r="H2" s="39" t="inlineStr">
        <is>
          <t>Résultat obtenu</t>
        </is>
      </c>
      <c r="I2" s="39" t="inlineStr">
        <is>
          <t>Statut</t>
        </is>
      </c>
      <c r="J2" s="39" t="inlineStr">
        <is>
          <t>Testeur</t>
        </is>
      </c>
      <c r="K2" s="39" t="inlineStr">
        <is>
          <t>Date test</t>
        </is>
      </c>
      <c r="L2" s="39" t="inlineStr">
        <is>
          <t>Durée (min)</t>
        </is>
      </c>
      <c r="M2" s="39" t="inlineStr">
        <is>
          <t>Ticket / Requalification</t>
        </is>
      </c>
      <c r="N2" s="39" t="inlineStr">
        <is>
          <t>Commentaire / Amélioration</t>
        </is>
      </c>
      <c r="O2" s="39" t="inlineStr">
        <is>
          <t>Sprint</t>
        </is>
      </c>
      <c r="P2" s="39" t="inlineStr">
        <is>
          <t>Env.</t>
        </is>
      </c>
    </row>
    <row r="3" ht="58" customHeight="1">
      <c r="A3" s="5" t="inlineStr">
        <is>
          <t>INT-001</t>
        </is>
      </c>
      <c r="B3" s="40" t="inlineStr">
        <is>
          <t>P1 — Critique</t>
        </is>
      </c>
      <c r="C3" s="41" t="inlineStr">
        <is>
          <t>Webhooks sortants — création et signature HMAC</t>
        </is>
      </c>
      <c r="D3" s="41" t="inlineStr">
        <is>
          <t>Paramètres → Connectivité → Webhooks.</t>
        </is>
      </c>
      <c r="E3" s="41" t="inlineStr">
        <is>
          <t>admin@sotra.ci</t>
        </is>
      </c>
      <c r="F3" s="41" t="inlineStr">
        <is>
          <t>1. Ajouter un webhook (URL de test, événements employee.created)
2. Tester
3. Vérifier l'en-tête de signature</t>
        </is>
      </c>
      <c r="G3" s="41" t="inlineStr">
        <is>
          <t>Livraison reçue, signature HMAC vérifiable avec le secret, historique des livraisons</t>
        </is>
      </c>
      <c r="H3" s="41" t="n"/>
      <c r="I3" s="42" t="n"/>
      <c r="J3" s="41" t="n"/>
      <c r="K3" s="41" t="n"/>
      <c r="L3" s="41" t="n"/>
      <c r="M3" s="41" t="n"/>
      <c r="N3" s="41" t="n"/>
      <c r="O3" s="41" t="inlineStr">
        <is>
          <t>Recette 10/2026</t>
        </is>
      </c>
      <c r="P3" s="41" t="inlineStr">
        <is>
          <t>Production</t>
        </is>
      </c>
    </row>
    <row r="4" ht="58" customHeight="1">
      <c r="A4" s="5" t="inlineStr">
        <is>
          <t>INT-002</t>
        </is>
      </c>
      <c r="B4" s="44" t="inlineStr">
        <is>
          <t>P2 — Haute</t>
        </is>
      </c>
      <c r="C4" s="43" t="inlineStr">
        <is>
          <t>Webhooks — protection SSRF</t>
        </is>
      </c>
      <c r="D4" s="43" t="inlineStr">
        <is>
          <t>URL interne refusée.</t>
        </is>
      </c>
      <c r="E4" s="43" t="inlineStr">
        <is>
          <t>admin@sotra.ci</t>
        </is>
      </c>
      <c r="F4" s="43" t="inlineStr">
        <is>
          <t>1. URL http://127.0.0.1 ou http://169.254.169.254</t>
        </is>
      </c>
      <c r="G4" s="43" t="inlineStr">
        <is>
          <t>Refus 400 explicite</t>
        </is>
      </c>
      <c r="H4" s="43" t="n"/>
      <c r="I4" s="42" t="n"/>
      <c r="J4" s="43" t="n"/>
      <c r="K4" s="43" t="n"/>
      <c r="L4" s="43" t="n"/>
      <c r="M4" s="43" t="n"/>
      <c r="N4" s="43" t="n"/>
      <c r="O4" s="43" t="inlineStr">
        <is>
          <t>Recette 10/2026</t>
        </is>
      </c>
      <c r="P4" s="43" t="inlineStr">
        <is>
          <t>Production</t>
        </is>
      </c>
    </row>
    <row r="5" ht="58" customHeight="1">
      <c r="A5" s="5" t="inlineStr">
        <is>
          <t>INT-003</t>
        </is>
      </c>
      <c r="B5" s="40" t="inlineStr">
        <is>
          <t>P1 — Critique</t>
        </is>
      </c>
      <c r="C5" s="41" t="inlineStr">
        <is>
          <t>Clés API entrantes — scopes</t>
        </is>
      </c>
      <c r="D5" s="41" t="inlineStr">
        <is>
          <t>api-keys + /integrations/v1/*.</t>
        </is>
      </c>
      <c r="E5" s="41" t="inlineStr">
        <is>
          <t>admin@sotra.ci</t>
        </is>
      </c>
      <c r="F5" s="41" t="inlineStr">
        <is>
          <t>1. Créer une clé scope employees:read
2. GET /integrations/v1/employees avec la clé
3. GET /integrations/v1/payslips avec la même clé</t>
        </is>
      </c>
      <c r="G5" s="41" t="inlineStr">
        <is>
          <t>Clé affichée une seule fois ; employees OK ; payslips → 403 (scope manquant) ; données du tenant uniquement</t>
        </is>
      </c>
      <c r="H5" s="41" t="n"/>
      <c r="I5" s="42" t="n"/>
      <c r="J5" s="41" t="n"/>
      <c r="K5" s="41" t="n"/>
      <c r="L5" s="41" t="n"/>
      <c r="M5" s="41" t="n"/>
      <c r="N5" s="41" t="n"/>
      <c r="O5" s="41" t="inlineStr">
        <is>
          <t>Recette 10/2026</t>
        </is>
      </c>
      <c r="P5" s="41" t="inlineStr">
        <is>
          <t>Production</t>
        </is>
      </c>
    </row>
    <row r="6" ht="58" customHeight="1">
      <c r="A6" s="5" t="inlineStr">
        <is>
          <t>INT-004</t>
        </is>
      </c>
      <c r="B6" s="44" t="inlineStr">
        <is>
          <t>P2 — Haute</t>
        </is>
      </c>
      <c r="C6" s="43" t="inlineStr">
        <is>
          <t>Clés API — révocation</t>
        </is>
      </c>
      <c r="D6" s="43" t="inlineStr">
        <is>
          <t>DELETE/PATCH api-keys.</t>
        </is>
      </c>
      <c r="E6" s="43" t="inlineStr">
        <is>
          <t>Clé active</t>
        </is>
      </c>
      <c r="F6" s="43" t="inlineStr">
        <is>
          <t>1. Révoquer
2. Réutiliser</t>
        </is>
      </c>
      <c r="G6" s="43" t="inlineStr">
        <is>
          <t>401 après révocation</t>
        </is>
      </c>
      <c r="H6" s="43" t="n"/>
      <c r="I6" s="42" t="n"/>
      <c r="J6" s="43" t="n"/>
      <c r="K6" s="43" t="n"/>
      <c r="L6" s="43" t="n"/>
      <c r="M6" s="43" t="n"/>
      <c r="N6" s="43" t="n"/>
      <c r="O6" s="43" t="inlineStr">
        <is>
          <t>Recette 10/2026</t>
        </is>
      </c>
      <c r="P6" s="43" t="inlineStr">
        <is>
          <t>Production</t>
        </is>
      </c>
    </row>
    <row r="7" ht="58" customHeight="1">
      <c r="A7" s="5" t="inlineStr">
        <is>
          <t>INT-005</t>
        </is>
      </c>
      <c r="B7" s="44" t="inlineStr">
        <is>
          <t>P2 — Haute</t>
        </is>
      </c>
      <c r="C7" s="41" t="inlineStr">
        <is>
          <t>Connecteurs — test</t>
        </is>
      </c>
      <c r="D7" s="41" t="inlineStr">
        <is>
          <t>connectors CRUD + test.</t>
        </is>
      </c>
      <c r="E7" s="41" t="inlineStr">
        <is>
          <t>admin@sotra.ci</t>
        </is>
      </c>
      <c r="F7" s="41" t="inlineStr">
        <is>
          <t>1. Ajouter un connecteur, le tester</t>
        </is>
      </c>
      <c r="G7" s="41" t="inlineStr">
        <is>
          <t>Résultat du test explicite, secrets masqués</t>
        </is>
      </c>
      <c r="H7" s="41" t="n"/>
      <c r="I7" s="42" t="n"/>
      <c r="J7" s="41" t="n"/>
      <c r="K7" s="41" t="n"/>
      <c r="L7" s="41" t="n"/>
      <c r="M7" s="41" t="n"/>
      <c r="N7" s="41" t="n"/>
      <c r="O7" s="41" t="inlineStr">
        <is>
          <t>Recette 10/2026</t>
        </is>
      </c>
      <c r="P7" s="41" t="inlineStr">
        <is>
          <t>Production</t>
        </is>
      </c>
    </row>
    <row r="8" ht="58" customHeight="1">
      <c r="A8" s="5" t="inlineStr">
        <is>
          <t>INT-006</t>
        </is>
      </c>
      <c r="B8" s="40" t="inlineStr">
        <is>
          <t>P1 — Critique</t>
        </is>
      </c>
      <c r="C8" s="43" t="inlineStr">
        <is>
          <t>Connectivité — réservé admin</t>
        </is>
      </c>
      <c r="D8" s="43" t="inlineStr">
        <is>
          <t>Toutes les routes integrations en admin.</t>
        </is>
      </c>
      <c r="E8" s="43" t="inlineStr">
        <is>
          <t>rh@sotra.ci (hr_manager, « Responsable Paie »)</t>
        </is>
      </c>
      <c r="F8" s="43" t="inlineStr">
        <is>
          <t>1. GET /integrations/webhooks</t>
        </is>
      </c>
      <c r="G8" s="43" t="inlineStr">
        <is>
          <t>403</t>
        </is>
      </c>
      <c r="H8" s="43" t="n"/>
      <c r="I8" s="42" t="n"/>
      <c r="J8" s="43" t="n"/>
      <c r="K8" s="43" t="n"/>
      <c r="L8" s="43" t="n"/>
      <c r="M8" s="43" t="n"/>
      <c r="N8" s="43" t="n"/>
      <c r="O8" s="43" t="inlineStr">
        <is>
          <t>Recette 10/2026</t>
        </is>
      </c>
      <c r="P8" s="43" t="inlineStr">
        <is>
          <t>Production</t>
        </is>
      </c>
    </row>
    <row r="9" ht="58" customHeight="1">
      <c r="A9" s="5" t="inlineStr">
        <is>
          <t>INT-007</t>
        </is>
      </c>
      <c r="B9" s="40" t="inlineStr">
        <is>
          <t>P1 — Critique</t>
        </is>
      </c>
      <c r="C9" s="41" t="inlineStr">
        <is>
          <t>Interface SAGE — configuration</t>
        </is>
      </c>
      <c r="D9" s="41" t="inlineStr">
        <is>
          <t>Option B amont-paie.</t>
        </is>
      </c>
      <c r="E9" s="41" t="inlineStr">
        <is>
          <t>rh@sotra.ci (hr_manager, « Responsable Paie »)</t>
        </is>
      </c>
      <c r="F9" s="41" t="inlineStr">
        <is>
          <t>1. Interface SAGE → paramètres (séparateur, codes rubriques)
2. Enregistrer</t>
        </is>
      </c>
      <c r="G9" s="41" t="inlineStr">
        <is>
          <t>Configuration persistée</t>
        </is>
      </c>
      <c r="H9" s="41" t="n"/>
      <c r="I9" s="42" t="n"/>
      <c r="J9" s="41" t="n"/>
      <c r="K9" s="41" t="n"/>
      <c r="L9" s="41" t="n"/>
      <c r="M9" s="41" t="n"/>
      <c r="N9" s="41" t="n"/>
      <c r="O9" s="41" t="inlineStr">
        <is>
          <t>Recette 10/2026</t>
        </is>
      </c>
      <c r="P9" s="41" t="inlineStr">
        <is>
          <t>Production</t>
        </is>
      </c>
    </row>
    <row r="10" ht="58" customHeight="1">
      <c r="A10" s="5" t="inlineStr">
        <is>
          <t>INT-008</t>
        </is>
      </c>
      <c r="B10" s="40" t="inlineStr">
        <is>
          <t>P1 — Critique</t>
        </is>
      </c>
      <c r="C10" s="43" t="inlineStr">
        <is>
          <t>Interface SAGE — exports CSV</t>
        </is>
      </c>
      <c r="D10" s="43" t="inlineStr">
        <is>
          <t>employees.csv, variable-elements.csv, payroll.csv avec BOM UTF-8.</t>
        </is>
      </c>
      <c r="E10" s="43" t="inlineStr">
        <is>
          <t>Période avec éléments variables</t>
        </is>
      </c>
      <c r="F10" s="43" t="inlineStr">
        <is>
          <t>1. Exporter les 3 fichiers
2. Ouvrir dans Excel</t>
        </is>
      </c>
      <c r="G10" s="43" t="inlineStr">
        <is>
          <t>Accents corrects (BOM), colonnes conformes à la configuration ; pas d'injection de formule (=, +, -, @ neutralisés)</t>
        </is>
      </c>
      <c r="H10" s="43" t="n"/>
      <c r="I10" s="42" t="n"/>
      <c r="J10" s="43" t="n"/>
      <c r="K10" s="43" t="n"/>
      <c r="L10" s="43" t="n"/>
      <c r="M10" s="43" t="n"/>
      <c r="N10" s="43" t="n"/>
      <c r="O10" s="43" t="inlineStr">
        <is>
          <t>Recette 10/2026</t>
        </is>
      </c>
      <c r="P10" s="43" t="inlineStr">
        <is>
          <t>Production</t>
        </is>
      </c>
    </row>
    <row r="11" ht="58" customHeight="1">
      <c r="A11" s="5" t="inlineStr">
        <is>
          <t>INT-009</t>
        </is>
      </c>
      <c r="B11" s="40" t="inlineStr">
        <is>
          <t>P1 — Critique</t>
        </is>
      </c>
      <c r="C11" s="41" t="inlineStr">
        <is>
          <t>SSO — configuration OIDC et test de découverte</t>
        </is>
      </c>
      <c r="D11" s="41" t="inlineStr">
        <is>
          <t>Sécurité &amp; conformité → SSO (OIDC/SAML/LDAP).</t>
        </is>
      </c>
      <c r="E11" s="41" t="inlineStr">
        <is>
          <t>admin@sotra.ci</t>
        </is>
      </c>
      <c r="F11" s="41" t="inlineStr">
        <is>
          <t>1. Saisir l'issuer OIDC
2. Tester (.well-known)</t>
        </is>
      </c>
      <c r="G11" s="41" t="inlineStr">
        <is>
          <t>Découverte OK/KO explicite ; secret client chiffré et masqué</t>
        </is>
      </c>
      <c r="H11" s="41" t="n"/>
      <c r="I11" s="42" t="n"/>
      <c r="J11" s="41" t="n"/>
      <c r="K11" s="41" t="n"/>
      <c r="L11" s="41" t="n"/>
      <c r="M11" s="41" t="n"/>
      <c r="N11" s="41" t="n"/>
      <c r="O11" s="41" t="inlineStr">
        <is>
          <t>Recette 10/2026</t>
        </is>
      </c>
      <c r="P11" s="41" t="inlineStr">
        <is>
          <t>Production</t>
        </is>
      </c>
    </row>
    <row r="12" ht="58" customHeight="1">
      <c r="A12" s="5" t="inlineStr">
        <is>
          <t>INT-010</t>
        </is>
      </c>
      <c r="B12" s="44" t="inlineStr">
        <is>
          <t>P2 — Haute</t>
        </is>
      </c>
      <c r="C12" s="43" t="inlineStr">
        <is>
          <t>SIEM — export webhook HMAC JSON/CEF</t>
        </is>
      </c>
      <c r="D12" s="43" t="inlineStr">
        <is>
          <t>siem-config + test + forward.</t>
        </is>
      </c>
      <c r="E12" s="43" t="inlineStr">
        <is>
          <t>admin@sotra.ci</t>
        </is>
      </c>
      <c r="F12" s="43" t="inlineStr">
        <is>
          <t>1. Configurer l'URL SIEM, format CEF
2. Tester
3. Consulter les événements</t>
        </is>
      </c>
      <c r="G12" s="43" t="inlineStr">
        <is>
          <t>Événements de sécurité transmis signés ; format respecté</t>
        </is>
      </c>
      <c r="H12" s="43" t="n"/>
      <c r="I12" s="42" t="n"/>
      <c r="J12" s="43" t="n"/>
      <c r="K12" s="43" t="n"/>
      <c r="L12" s="43" t="n"/>
      <c r="M12" s="43" t="n"/>
      <c r="N12" s="43" t="n"/>
      <c r="O12" s="43" t="inlineStr">
        <is>
          <t>Recette 10/2026</t>
        </is>
      </c>
      <c r="P12" s="43" t="inlineStr">
        <is>
          <t>Production</t>
        </is>
      </c>
    </row>
    <row r="13" ht="58" customHeight="1">
      <c r="A13" s="5" t="inlineStr">
        <is>
          <t>INT-011</t>
        </is>
      </c>
      <c r="B13" s="40" t="inlineStr">
        <is>
          <t>P1 — Critique</t>
        </is>
      </c>
      <c r="C13" s="41" t="inlineStr">
        <is>
          <t>Sécurité &amp; conformité — réservé admin</t>
        </is>
      </c>
      <c r="D13" s="41" t="inlineStr">
        <is>
          <t>Module security admin-only.</t>
        </is>
      </c>
      <c r="E13" s="41" t="inlineStr">
        <is>
          <t>rh@sotra.ci (hr_manager, « Responsable Paie »)</t>
        </is>
      </c>
      <c r="F13" s="41" t="inlineStr">
        <is>
          <t>1. GET /security/sso-config</t>
        </is>
      </c>
      <c r="G13" s="41" t="inlineStr">
        <is>
          <t>403</t>
        </is>
      </c>
      <c r="H13" s="41" t="n"/>
      <c r="I13" s="42" t="n"/>
      <c r="J13" s="41" t="n"/>
      <c r="K13" s="41" t="n"/>
      <c r="L13" s="41" t="n"/>
      <c r="M13" s="41" t="n"/>
      <c r="N13" s="41" t="n"/>
      <c r="O13" s="41" t="inlineStr">
        <is>
          <t>Recette 10/2026</t>
        </is>
      </c>
      <c r="P13" s="41" t="inlineStr">
        <is>
          <t>Production</t>
        </is>
      </c>
    </row>
    <row r="14" ht="58" customHeight="1">
      <c r="A14" s="5" t="inlineStr">
        <is>
          <t>INT-012</t>
        </is>
      </c>
      <c r="B14" s="44" t="inlineStr">
        <is>
          <t>P2 — Haute</t>
        </is>
      </c>
      <c r="C14" s="43" t="inlineStr">
        <is>
          <t>Classification des données — 4 niveaux</t>
        </is>
      </c>
      <c r="D14" s="43" t="inlineStr">
        <is>
          <t>Public / Interne / Confidentiel / Restreint.</t>
        </is>
      </c>
      <c r="E14" s="43" t="inlineStr">
        <is>
          <t>admin@sotra.ci</t>
        </is>
      </c>
      <c r="F14" s="43" t="inlineStr">
        <is>
          <t>1. Classification → niveaux → modifier la description de « Restreint »
2. Ajouter une catégorie (Paie = Restreint)
3. Vérifier (check)</t>
        </is>
      </c>
      <c r="G14" s="43" t="inlineStr">
        <is>
          <t>Niveaux et catégories persistés ; contrôle d'accès indique le niveau requis</t>
        </is>
      </c>
      <c r="H14" s="43" t="n"/>
      <c r="I14" s="42" t="n"/>
      <c r="J14" s="43" t="n"/>
      <c r="K14" s="43" t="n"/>
      <c r="L14" s="43" t="n"/>
      <c r="M14" s="43" t="n"/>
      <c r="N14" s="43" t="n"/>
      <c r="O14" s="43" t="inlineStr">
        <is>
          <t>Recette 10/2026</t>
        </is>
      </c>
      <c r="P14" s="43" t="inlineStr">
        <is>
          <t>Production</t>
        </is>
      </c>
    </row>
    <row r="15" ht="58" customHeight="1">
      <c r="A15" s="5" t="inlineStr">
        <is>
          <t>INT-013</t>
        </is>
      </c>
      <c r="B15" s="40" t="inlineStr">
        <is>
          <t>P1 — Critique</t>
        </is>
      </c>
      <c r="C15" s="41" t="inlineStr">
        <is>
          <t>Signature électronique — demande séquentielle</t>
        </is>
      </c>
      <c r="D15" s="41" t="inlineStr">
        <is>
          <t>Demandes → signataires (séquentiel/parallèle) → signé/refusé.</t>
        </is>
      </c>
      <c r="E15" s="41" t="inlineStr">
        <is>
          <t>rh@sotra.ci (hr_manager, « Responsable Paie »)</t>
        </is>
      </c>
      <c r="F15" s="41" t="inlineStr">
        <is>
          <t>1. Signature → Nouvelle demande → document, 2 signataires en séquentiel
2. Envoyer</t>
        </is>
      </c>
      <c r="G15" s="41" t="inlineStr">
        <is>
          <t>Signataire 1 notifié, signataire 2 seulement après signature du 1</t>
        </is>
      </c>
      <c r="H15" s="41" t="n"/>
      <c r="I15" s="42" t="n"/>
      <c r="J15" s="41" t="n"/>
      <c r="K15" s="41" t="n"/>
      <c r="L15" s="41" t="n"/>
      <c r="M15" s="41" t="n"/>
      <c r="N15" s="41" t="n"/>
      <c r="O15" s="41" t="inlineStr">
        <is>
          <t>Recette 10/2026</t>
        </is>
      </c>
      <c r="P15" s="41" t="inlineStr">
        <is>
          <t>Production</t>
        </is>
      </c>
    </row>
    <row r="16" ht="58" customHeight="1">
      <c r="A16" s="5" t="inlineStr">
        <is>
          <t>INT-014</t>
        </is>
      </c>
      <c r="B16" s="40" t="inlineStr">
        <is>
          <t>P1 — Critique</t>
        </is>
      </c>
      <c r="C16" s="43" t="inlineStr">
        <is>
          <t>Signature — signature et refus par le signataire</t>
        </is>
      </c>
      <c r="D16" s="43" t="inlineStr">
        <is>
          <t>Self-service, audit IP/horodatage.</t>
        </is>
      </c>
      <c r="E16" s="43" t="inlineStr">
        <is>
          <t>employe@sotra.ci (Kouassi Coulibaly) signataire</t>
        </is>
      </c>
      <c r="F16" s="43" t="inlineStr">
        <is>
          <t>1. Mes signatures → Signer
2. Sur une autre demande → Refuser avec motif</t>
        </is>
      </c>
      <c r="G16" s="43" t="inlineStr">
        <is>
          <t>Statuts « signé » / « refusé », audit IP et date, demande refusée close</t>
        </is>
      </c>
      <c r="H16" s="43" t="n"/>
      <c r="I16" s="42" t="n"/>
      <c r="J16" s="43" t="n"/>
      <c r="K16" s="43" t="n"/>
      <c r="L16" s="43" t="n"/>
      <c r="M16" s="43" t="n"/>
      <c r="N16" s="43" t="n"/>
      <c r="O16" s="43" t="inlineStr">
        <is>
          <t>Recette 10/2026</t>
        </is>
      </c>
      <c r="P16" s="43" t="inlineStr">
        <is>
          <t>Production</t>
        </is>
      </c>
    </row>
    <row r="17" ht="58" customHeight="1">
      <c r="A17" s="5" t="inlineStr">
        <is>
          <t>INT-015</t>
        </is>
      </c>
      <c r="B17" s="44" t="inlineStr">
        <is>
          <t>P2 — Haute</t>
        </is>
      </c>
      <c r="C17" s="41" t="inlineStr">
        <is>
          <t>Signature — annulation et suppression</t>
        </is>
      </c>
      <c r="D17" s="41" t="inlineStr">
        <is>
          <t>cancel / delete (MANAGE admin/hr_manager).</t>
        </is>
      </c>
      <c r="E17" s="41" t="inlineStr">
        <is>
          <t>Demande envoyée</t>
        </is>
      </c>
      <c r="F17" s="41" t="inlineStr">
        <is>
          <t>1. rh@ annule
2. chef.perso@ tente de supprimer</t>
        </is>
      </c>
      <c r="G17" s="41" t="inlineStr">
        <is>
          <t>Annulée ; hr_officer → 403</t>
        </is>
      </c>
      <c r="H17" s="41" t="n"/>
      <c r="I17" s="42" t="n"/>
      <c r="J17" s="41" t="n"/>
      <c r="K17" s="41" t="n"/>
      <c r="L17" s="41" t="n"/>
      <c r="M17" s="41" t="n"/>
      <c r="N17" s="41" t="n"/>
      <c r="O17" s="41" t="inlineStr">
        <is>
          <t>Recette 10/2026</t>
        </is>
      </c>
      <c r="P17" s="41" t="inlineStr">
        <is>
          <t>Production</t>
        </is>
      </c>
    </row>
    <row r="18" ht="58" customHeight="1">
      <c r="A18" s="5" t="inlineStr">
        <is>
          <t>INT-016</t>
        </is>
      </c>
      <c r="B18" s="40" t="inlineStr">
        <is>
          <t>P1 — Critique</t>
        </is>
      </c>
      <c r="C18" s="43" t="inlineStr">
        <is>
          <t>Signature — un salarié ne signe pas à la place d'un autre</t>
        </is>
      </c>
      <c r="D18" s="43" t="inlineStr">
        <is>
          <t>Isolation signataire.</t>
        </is>
      </c>
      <c r="E18" s="43" t="inlineStr">
        <is>
          <t>employe@sotra.ci (Kouassi Coulibaly)</t>
        </is>
      </c>
      <c r="F18" s="43" t="inlineStr">
        <is>
          <t>1. POST /signature/requests/:id/sign sur une demande dont il n'est pas signataire</t>
        </is>
      </c>
      <c r="G18" s="43" t="inlineStr">
        <is>
          <t>403/404</t>
        </is>
      </c>
      <c r="H18" s="43" t="n"/>
      <c r="I18" s="42" t="n"/>
      <c r="J18" s="43" t="n"/>
      <c r="K18" s="43" t="n"/>
      <c r="L18" s="43" t="n"/>
      <c r="M18" s="43" t="n"/>
      <c r="N18" s="43" t="n"/>
      <c r="O18" s="43" t="inlineStr">
        <is>
          <t>Recette 10/2026</t>
        </is>
      </c>
      <c r="P18" s="43" t="inlineStr">
        <is>
          <t>Production</t>
        </is>
      </c>
    </row>
  </sheetData>
  <mergeCells count="1">
    <mergeCell ref="A1:P1"/>
  </mergeCells>
  <conditionalFormatting sqref="A3:P18">
    <cfRule type="expression" priority="1" dxfId="0">
      <formula>$I3="✅ Passé"</formula>
    </cfRule>
    <cfRule type="expression" priority="2" dxfId="1">
      <formula>$I3="❌ Échoué"</formula>
    </cfRule>
    <cfRule type="expression" priority="3" dxfId="2">
      <formula>$I3="⚠️ Bloqué"</formula>
    </cfRule>
    <cfRule type="expression" priority="4" dxfId="3">
      <formula>$I3="▶️ En cours"</formula>
    </cfRule>
    <cfRule type="expression" priority="5" dxfId="4">
      <formula>$I3="⬜ Non exécuté"</formula>
    </cfRule>
  </conditionalFormatting>
  <dataValidations count="3">
    <dataValidation sqref="I3:I18" showDropDown="0" showInputMessage="0" showErrorMessage="0" allowBlank="1" type="list">
      <formula1>"✅ Passé,❌ Échoué,⚠️ Bloqué,▶️ En cours,⬜ Non exécuté"</formula1>
    </dataValidation>
    <dataValidation sqref="B3:B18" showDropDown="0" showInputMessage="0" showErrorMessage="0" allowBlank="1" type="list">
      <formula1>"P1 — Critique,P2 — Haute,P3 — Moyenne,P4 — Basse"</formula1>
    </dataValidation>
    <dataValidation sqref="P3:P18" showDropDown="0" showInputMessage="0" showErrorMessage="0" allowBlank="1" type="list">
      <formula1>"Production,Preprod,Local"</formula1>
    </dataValidation>
  </dataValidation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P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38" customWidth="1" min="3" max="3"/>
    <col width="32" customWidth="1" min="4" max="4"/>
    <col width="30" customWidth="1" min="5" max="5"/>
    <col width="40" customWidth="1" min="6" max="6"/>
    <col width="38" customWidth="1" min="7" max="7"/>
    <col width="38" customWidth="1" min="8" max="8"/>
    <col width="18" customWidth="1" min="9" max="9"/>
    <col width="16" customWidth="1" min="10" max="10"/>
    <col width="13" customWidth="1" min="11" max="11"/>
    <col width="12" customWidth="1" min="12" max="12"/>
    <col width="24" customWidth="1" min="13" max="13"/>
    <col width="36" customWidth="1" min="14" max="14"/>
    <col width="10" customWidth="1" min="15" max="15"/>
    <col width="12" customWidth="1" min="16" max="16"/>
  </cols>
  <sheetData>
    <row r="1" ht="26" customHeight="1">
      <c r="A1" s="83" t="inlineStr">
        <is>
          <t xml:space="preserve">  CONFIGURATION TENANT (MODULES, PAYS, CHAMPS, LANGUE)  ·  10 scénarios</t>
        </is>
      </c>
    </row>
    <row r="2" ht="22" customHeight="1">
      <c r="A2" s="39" t="inlineStr">
        <is>
          <t>ID Test</t>
        </is>
      </c>
      <c r="B2" s="39" t="inlineStr">
        <is>
          <t>Priorité</t>
        </is>
      </c>
      <c r="C2" s="39" t="inlineStr">
        <is>
          <t>Titre du scénario</t>
        </is>
      </c>
      <c r="D2" s="39" t="inlineStr">
        <is>
          <t>Description / Contexte</t>
        </is>
      </c>
      <c r="E2" s="39" t="inlineStr">
        <is>
          <t>Prérequis / Données</t>
        </is>
      </c>
      <c r="F2" s="39" t="inlineStr">
        <is>
          <t>Étapes détaillées</t>
        </is>
      </c>
      <c r="G2" s="39" t="inlineStr">
        <is>
          <t>Résultat attendu</t>
        </is>
      </c>
      <c r="H2" s="39" t="inlineStr">
        <is>
          <t>Résultat obtenu</t>
        </is>
      </c>
      <c r="I2" s="39" t="inlineStr">
        <is>
          <t>Statut</t>
        </is>
      </c>
      <c r="J2" s="39" t="inlineStr">
        <is>
          <t>Testeur</t>
        </is>
      </c>
      <c r="K2" s="39" t="inlineStr">
        <is>
          <t>Date test</t>
        </is>
      </c>
      <c r="L2" s="39" t="inlineStr">
        <is>
          <t>Durée (min)</t>
        </is>
      </c>
      <c r="M2" s="39" t="inlineStr">
        <is>
          <t>Ticket / Requalification</t>
        </is>
      </c>
      <c r="N2" s="39" t="inlineStr">
        <is>
          <t>Commentaire / Amélioration</t>
        </is>
      </c>
      <c r="O2" s="39" t="inlineStr">
        <is>
          <t>Sprint</t>
        </is>
      </c>
      <c r="P2" s="39" t="inlineStr">
        <is>
          <t>Env.</t>
        </is>
      </c>
    </row>
    <row r="3" ht="58" customHeight="1">
      <c r="A3" s="84" t="inlineStr">
        <is>
          <t>CFG-001</t>
        </is>
      </c>
      <c r="B3" s="40" t="inlineStr">
        <is>
          <t>P1 — Critique</t>
        </is>
      </c>
      <c r="C3" s="41" t="inlineStr">
        <is>
          <t>Champs personnalisés — définition</t>
        </is>
      </c>
      <c r="D3" s="41" t="inlineStr">
        <is>
          <t>Paramètres → Champs personnalisés.</t>
        </is>
      </c>
      <c r="E3" s="41" t="inlineStr">
        <is>
          <t>admin@sotra.ci</t>
        </is>
      </c>
      <c r="F3" s="41" t="inlineStr">
        <is>
          <t>1. Créer « Groupe sanguin » (liste A+,O+…), « N° badge » (texte, sensible, obligatoire)
2. Enregistrer</t>
        </is>
      </c>
      <c r="G3" s="41" t="inlineStr">
        <is>
          <t>Champs disponibles dans le formulaire employé ; clé dupliquée refusée</t>
        </is>
      </c>
      <c r="H3" s="41" t="n"/>
      <c r="I3" s="42" t="n"/>
      <c r="J3" s="41" t="n"/>
      <c r="K3" s="41" t="n"/>
      <c r="L3" s="41" t="n"/>
      <c r="M3" s="41" t="n"/>
      <c r="N3" s="41" t="n"/>
      <c r="O3" s="41" t="inlineStr">
        <is>
          <t>Recette 10/2026</t>
        </is>
      </c>
      <c r="P3" s="41" t="inlineStr">
        <is>
          <t>Production</t>
        </is>
      </c>
    </row>
    <row r="4" ht="58" customHeight="1">
      <c r="A4" s="84" t="inlineStr">
        <is>
          <t>CFG-002</t>
        </is>
      </c>
      <c r="B4" s="44" t="inlineStr">
        <is>
          <t>P2 — Haute</t>
        </is>
      </c>
      <c r="C4" s="43" t="inlineStr">
        <is>
          <t>Champs personnalisés — suppression d'un champ utilisé</t>
        </is>
      </c>
      <c r="D4" s="43" t="inlineStr">
        <is>
          <t>Cohérence des données.</t>
        </is>
      </c>
      <c r="E4" s="43" t="inlineStr">
        <is>
          <t>Champ renseigné sur des salariés</t>
        </is>
      </c>
      <c r="F4" s="43" t="inlineStr">
        <is>
          <t>1. Supprimer le champ</t>
        </is>
      </c>
      <c r="G4" s="43" t="inlineStr">
        <is>
          <t>Avertissement / refus ou masquage sans perte silencieuse</t>
        </is>
      </c>
      <c r="H4" s="43" t="n"/>
      <c r="I4" s="42" t="n"/>
      <c r="J4" s="43" t="n"/>
      <c r="K4" s="43" t="n"/>
      <c r="L4" s="43" t="n"/>
      <c r="M4" s="43" t="n"/>
      <c r="N4" s="43" t="n"/>
      <c r="O4" s="43" t="inlineStr">
        <is>
          <t>Recette 10/2026</t>
        </is>
      </c>
      <c r="P4" s="43" t="inlineStr">
        <is>
          <t>Production</t>
        </is>
      </c>
    </row>
    <row r="5" ht="58" customHeight="1">
      <c r="A5" s="84" t="inlineStr">
        <is>
          <t>CFG-003</t>
        </is>
      </c>
      <c r="B5" s="40" t="inlineStr">
        <is>
          <t>P1 — Critique</t>
        </is>
      </c>
      <c r="C5" s="41" t="inlineStr">
        <is>
          <t>Pays du tenant — règles du pack (SMIG, préavis, devise)</t>
        </is>
      </c>
      <c r="D5" s="41" t="inlineStr">
        <is>
          <t>Paramètres → Légal / Pays.</t>
        </is>
      </c>
      <c r="E5" s="41" t="inlineStr">
        <is>
          <t>admin@sotra.ci</t>
        </is>
      </c>
      <c r="F5" s="41" t="inlineStr">
        <is>
          <t>1. Consulter le pays et le pack législatif
2. Saisir un salaire &lt; SMIG sur une fiche</t>
        </is>
      </c>
      <c r="G5" s="41" t="inlineStr">
        <is>
          <t>Règles du pack affichées ; salaire &lt; SMIG refusé ou alerté</t>
        </is>
      </c>
      <c r="H5" s="41" t="n"/>
      <c r="I5" s="42" t="n"/>
      <c r="J5" s="41" t="n"/>
      <c r="K5" s="41" t="n"/>
      <c r="L5" s="41" t="n"/>
      <c r="M5" s="41" t="n"/>
      <c r="N5" s="41" t="n"/>
      <c r="O5" s="41" t="inlineStr">
        <is>
          <t>Recette 10/2026</t>
        </is>
      </c>
      <c r="P5" s="41" t="inlineStr">
        <is>
          <t>Production</t>
        </is>
      </c>
    </row>
    <row r="6" ht="58" customHeight="1">
      <c r="A6" s="84" t="inlineStr">
        <is>
          <t>CFG-004</t>
        </is>
      </c>
      <c r="B6" s="44" t="inlineStr">
        <is>
          <t>P2 — Haute</t>
        </is>
      </c>
      <c r="C6" s="43" t="inlineStr">
        <is>
          <t>Règles de rupture du tenant</t>
        </is>
      </c>
      <c r="D6" s="43" t="inlineStr">
        <is>
          <t>TerminationRulesCard.</t>
        </is>
      </c>
      <c r="E6" s="43" t="inlineStr">
        <is>
          <t>admin@sotra.ci</t>
        </is>
      </c>
      <c r="F6" s="43" t="inlineStr">
        <is>
          <t>1. Définir préavis et barème d'indemnité conventionnels
2. Valeur moins favorable que la loi</t>
        </is>
      </c>
      <c r="G6" s="43" t="inlineStr">
        <is>
          <t>Enregistré ; moins favorable refusé</t>
        </is>
      </c>
      <c r="H6" s="43" t="n"/>
      <c r="I6" s="42" t="n"/>
      <c r="J6" s="43" t="n"/>
      <c r="K6" s="43" t="n"/>
      <c r="L6" s="43" t="n"/>
      <c r="M6" s="43" t="n"/>
      <c r="N6" s="43" t="n"/>
      <c r="O6" s="43" t="inlineStr">
        <is>
          <t>Recette 10/2026</t>
        </is>
      </c>
      <c r="P6" s="43" t="inlineStr">
        <is>
          <t>Production</t>
        </is>
      </c>
    </row>
    <row r="7" ht="58" customHeight="1">
      <c r="A7" s="84" t="inlineStr">
        <is>
          <t>CFG-005</t>
        </is>
      </c>
      <c r="B7" s="40" t="inlineStr">
        <is>
          <t>P1 — Critique</t>
        </is>
      </c>
      <c r="C7" s="41" t="inlineStr">
        <is>
          <t>Constructeur de bulletin — blocs et aperçu live</t>
        </is>
      </c>
      <c r="D7" s="41" t="inlineStr">
        <is>
          <t>Paramètres → Bulletin (PayslipBuilder) : glisser-déposer, portée Groupe/Pays.</t>
        </is>
      </c>
      <c r="E7" s="41" t="inlineStr">
        <is>
          <t>admin@sotra.ci</t>
        </is>
      </c>
      <c r="F7" s="41" t="inlineStr">
        <is>
          <t>1. Réordonner les blocs, masquer cumuls
2. Charger un logo
3. Aperçu
4. Enregistrer et générer un bulletin</t>
        </is>
      </c>
      <c r="G7" s="41" t="inlineStr">
        <is>
          <t>Aperçu fidèle ; bulletin PDF généré avec la nouvelle mise en page ; logo non-image refusé</t>
        </is>
      </c>
      <c r="H7" s="41" t="n"/>
      <c r="I7" s="42" t="n"/>
      <c r="J7" s="41" t="n"/>
      <c r="K7" s="41" t="n"/>
      <c r="L7" s="41" t="n"/>
      <c r="M7" s="41" t="n"/>
      <c r="N7" s="41" t="n"/>
      <c r="O7" s="41" t="inlineStr">
        <is>
          <t>Recette 10/2026</t>
        </is>
      </c>
      <c r="P7" s="41" t="inlineStr">
        <is>
          <t>Production</t>
        </is>
      </c>
    </row>
    <row r="8" ht="58" customHeight="1">
      <c r="A8" s="84" t="inlineStr">
        <is>
          <t>CFG-006</t>
        </is>
      </c>
      <c r="B8" s="44" t="inlineStr">
        <is>
          <t>P2 — Haute</t>
        </is>
      </c>
      <c r="C8" s="43" t="inlineStr">
        <is>
          <t>Bulletin — cumuls et charges employeur</t>
        </is>
      </c>
      <c r="D8" s="43" t="inlineStr">
        <is>
          <t>Blocs cumuls annuels + CNPS employeur.</t>
        </is>
      </c>
      <c r="E8" s="43" t="inlineStr">
        <is>
          <t>Modèle avec ces blocs activés</t>
        </is>
      </c>
      <c r="F8" s="43" t="inlineStr">
        <is>
          <t>1. Générer un bulletin</t>
        </is>
      </c>
      <c r="G8" s="43" t="inlineStr">
        <is>
          <t>Cumuls YTD et charges employeur affichés et exacts</t>
        </is>
      </c>
      <c r="H8" s="43" t="n"/>
      <c r="I8" s="42" t="n"/>
      <c r="J8" s="43" t="n"/>
      <c r="K8" s="43" t="n"/>
      <c r="L8" s="43" t="n"/>
      <c r="M8" s="43" t="n"/>
      <c r="N8" s="43" t="n"/>
      <c r="O8" s="43" t="inlineStr">
        <is>
          <t>Recette 10/2026</t>
        </is>
      </c>
      <c r="P8" s="43" t="inlineStr">
        <is>
          <t>Production</t>
        </is>
      </c>
    </row>
    <row r="9" ht="58" customHeight="1">
      <c r="A9" s="84" t="inlineStr">
        <is>
          <t>CFG-007</t>
        </is>
      </c>
      <c r="B9" s="40" t="inlineStr">
        <is>
          <t>P1 — Critique</t>
        </is>
      </c>
      <c r="C9" s="41" t="inlineStr">
        <is>
          <t>Multi-langue FR/EN — couverture</t>
        </is>
      </c>
      <c r="D9" s="41" t="inlineStr">
        <is>
          <t>i18next, 23+ namespaces.</t>
        </is>
      </c>
      <c r="E9" s="41" t="inlineStr">
        <is>
          <t>admin@sotra.ci</t>
        </is>
      </c>
      <c r="F9" s="41" t="inlineStr">
        <is>
          <t>1. Basculer EN
2. Parcourir Paramètres, Paie, Discipline, Sorties, Signature, Pointage</t>
        </is>
      </c>
      <c r="G9" s="41" t="inlineStr">
        <is>
          <t>Aucune clé brute affichée, aucun texte FR résiduel sur ces écrans</t>
        </is>
      </c>
      <c r="H9" s="41" t="n"/>
      <c r="I9" s="42" t="n"/>
      <c r="J9" s="41" t="n"/>
      <c r="K9" s="41" t="n"/>
      <c r="L9" s="41" t="n"/>
      <c r="M9" s="41" t="n"/>
      <c r="N9" s="41" t="n"/>
      <c r="O9" s="41" t="inlineStr">
        <is>
          <t>Recette 10/2026</t>
        </is>
      </c>
      <c r="P9" s="41" t="inlineStr">
        <is>
          <t>Production</t>
        </is>
      </c>
    </row>
    <row r="10" ht="58" customHeight="1">
      <c r="A10" s="84" t="inlineStr">
        <is>
          <t>CFG-008</t>
        </is>
      </c>
      <c r="B10" s="44" t="inlineStr">
        <is>
          <t>P2 — Haute</t>
        </is>
      </c>
      <c r="C10" s="43" t="inlineStr">
        <is>
          <t>Apparence tenant — couleurs et logo appliqués</t>
        </is>
      </c>
      <c r="D10" s="43" t="inlineStr">
        <is>
          <t>Thème au login (?tenant=slug) et dans l'app.</t>
        </is>
      </c>
      <c r="E10" s="43" t="inlineStr">
        <is>
          <t>admin@sotra.ci</t>
        </is>
      </c>
      <c r="F10" s="43" t="inlineStr">
        <is>
          <t>1. Modifier la couleur primaire
2. Ouvrir /login?tenant=sotra</t>
        </is>
      </c>
      <c r="G10" s="43" t="inlineStr">
        <is>
          <t>Couleurs appliquées partout, contraste lisible</t>
        </is>
      </c>
      <c r="H10" s="43" t="n"/>
      <c r="I10" s="42" t="n"/>
      <c r="J10" s="43" t="n"/>
      <c r="K10" s="43" t="n"/>
      <c r="L10" s="43" t="n"/>
      <c r="M10" s="43" t="n"/>
      <c r="N10" s="43" t="n"/>
      <c r="O10" s="43" t="inlineStr">
        <is>
          <t>Recette 10/2026</t>
        </is>
      </c>
      <c r="P10" s="43" t="inlineStr">
        <is>
          <t>Production</t>
        </is>
      </c>
    </row>
    <row r="11" ht="58" customHeight="1">
      <c r="A11" s="84" t="inlineStr">
        <is>
          <t>CFG-009</t>
        </is>
      </c>
      <c r="B11" s="44" t="inlineStr">
        <is>
          <t>P2 — Haute</t>
        </is>
      </c>
      <c r="C11" s="41" t="inlineStr">
        <is>
          <t>Rubriques de paie — CRUD et contrôles</t>
        </is>
      </c>
      <c r="D11" s="41" t="inlineStr">
        <is>
          <t>Paramètres → Rubriques de paie.</t>
        </is>
      </c>
      <c r="E11" s="41" t="inlineStr">
        <is>
          <t>rh@sotra.ci (hr_manager, « Responsable Paie »)</t>
        </is>
      </c>
      <c r="F11" s="41" t="inlineStr">
        <is>
          <t>1. Créer, modifier, supprimer une rubrique
2. Code en doublon</t>
        </is>
      </c>
      <c r="G11" s="41" t="inlineStr">
        <is>
          <t>CRUD OK ; doublon refusé ; rubrique système non supprimable</t>
        </is>
      </c>
      <c r="H11" s="41" t="n"/>
      <c r="I11" s="42" t="n"/>
      <c r="J11" s="41" t="n"/>
      <c r="K11" s="41" t="n"/>
      <c r="L11" s="41" t="n"/>
      <c r="M11" s="41" t="n"/>
      <c r="N11" s="41" t="n"/>
      <c r="O11" s="41" t="inlineStr">
        <is>
          <t>Recette 10/2026</t>
        </is>
      </c>
      <c r="P11" s="41" t="inlineStr">
        <is>
          <t>Production</t>
        </is>
      </c>
    </row>
    <row r="12" ht="58" customHeight="1">
      <c r="A12" s="84" t="inlineStr">
        <is>
          <t>CFG-010</t>
        </is>
      </c>
      <c r="B12" s="44" t="inlineStr">
        <is>
          <t>P2 — Haute</t>
        </is>
      </c>
      <c r="C12" s="43" t="inlineStr">
        <is>
          <t>Paramètres — onglets réservés aux rôles</t>
        </is>
      </c>
      <c r="D12" s="43" t="inlineStr">
        <is>
          <t>Paramètres non accessibles employé/manager.</t>
        </is>
      </c>
      <c r="E12" s="43" t="inlineStr">
        <is>
          <t>manager@sotra.ci (manager, « Chef Dépôt »)</t>
        </is>
      </c>
      <c r="F12" s="43" t="inlineStr">
        <is>
          <t>1. /settings
2. PUT /settings/legislation</t>
        </is>
      </c>
      <c r="G12" s="43" t="inlineStr">
        <is>
          <t>Accès refusé (redirection UI, 403 API)</t>
        </is>
      </c>
      <c r="H12" s="43" t="n"/>
      <c r="I12" s="42" t="n"/>
      <c r="J12" s="43" t="n"/>
      <c r="K12" s="43" t="n"/>
      <c r="L12" s="43" t="n"/>
      <c r="M12" s="43" t="n"/>
      <c r="N12" s="43" t="n"/>
      <c r="O12" s="43" t="inlineStr">
        <is>
          <t>Recette 10/2026</t>
        </is>
      </c>
      <c r="P12" s="43" t="inlineStr">
        <is>
          <t>Production</t>
        </is>
      </c>
    </row>
  </sheetData>
  <mergeCells count="1">
    <mergeCell ref="A1:P1"/>
  </mergeCells>
  <conditionalFormatting sqref="A3:P12">
    <cfRule type="expression" priority="1" dxfId="0">
      <formula>$I3="✅ Passé"</formula>
    </cfRule>
    <cfRule type="expression" priority="2" dxfId="1">
      <formula>$I3="❌ Échoué"</formula>
    </cfRule>
    <cfRule type="expression" priority="3" dxfId="2">
      <formula>$I3="⚠️ Bloqué"</formula>
    </cfRule>
    <cfRule type="expression" priority="4" dxfId="3">
      <formula>$I3="▶️ En cours"</formula>
    </cfRule>
    <cfRule type="expression" priority="5" dxfId="4">
      <formula>$I3="⬜ Non exécuté"</formula>
    </cfRule>
  </conditionalFormatting>
  <dataValidations count="3">
    <dataValidation sqref="I3:I12" showDropDown="0" showInputMessage="0" showErrorMessage="0" allowBlank="1" type="list">
      <formula1>"✅ Passé,❌ Échoué,⚠️ Bloqué,▶️ En cours,⬜ Non exécuté"</formula1>
    </dataValidation>
    <dataValidation sqref="B3:B12" showDropDown="0" showInputMessage="0" showErrorMessage="0" allowBlank="1" type="list">
      <formula1>"P1 — Critique,P2 — Haute,P3 — Moyenne,P4 — Basse"</formula1>
    </dataValidation>
    <dataValidation sqref="P3:P12" showDropDown="0" showInputMessage="0" showErrorMessage="0" allowBlank="1" type="list">
      <formula1>"Production,Preprod,Local"</formula1>
    </dataValidation>
  </dataValidation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P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38" customWidth="1" min="3" max="3"/>
    <col width="32" customWidth="1" min="4" max="4"/>
    <col width="30" customWidth="1" min="5" max="5"/>
    <col width="40" customWidth="1" min="6" max="6"/>
    <col width="38" customWidth="1" min="7" max="7"/>
    <col width="38" customWidth="1" min="8" max="8"/>
    <col width="18" customWidth="1" min="9" max="9"/>
    <col width="16" customWidth="1" min="10" max="10"/>
    <col width="13" customWidth="1" min="11" max="11"/>
    <col width="12" customWidth="1" min="12" max="12"/>
    <col width="24" customWidth="1" min="13" max="13"/>
    <col width="36" customWidth="1" min="14" max="14"/>
    <col width="10" customWidth="1" min="15" max="15"/>
    <col width="12" customWidth="1" min="16" max="16"/>
  </cols>
  <sheetData>
    <row r="1" ht="26" customHeight="1">
      <c r="A1" s="85" t="inlineStr">
        <is>
          <t xml:space="preserve">  CABINET DE RECRUTEMENT (AGENCY)  ·  9 scénarios</t>
        </is>
      </c>
    </row>
    <row r="2" ht="22" customHeight="1">
      <c r="A2" s="39" t="inlineStr">
        <is>
          <t>ID Test</t>
        </is>
      </c>
      <c r="B2" s="39" t="inlineStr">
        <is>
          <t>Priorité</t>
        </is>
      </c>
      <c r="C2" s="39" t="inlineStr">
        <is>
          <t>Titre du scénario</t>
        </is>
      </c>
      <c r="D2" s="39" t="inlineStr">
        <is>
          <t>Description / Contexte</t>
        </is>
      </c>
      <c r="E2" s="39" t="inlineStr">
        <is>
          <t>Prérequis / Données</t>
        </is>
      </c>
      <c r="F2" s="39" t="inlineStr">
        <is>
          <t>Étapes détaillées</t>
        </is>
      </c>
      <c r="G2" s="39" t="inlineStr">
        <is>
          <t>Résultat attendu</t>
        </is>
      </c>
      <c r="H2" s="39" t="inlineStr">
        <is>
          <t>Résultat obtenu</t>
        </is>
      </c>
      <c r="I2" s="39" t="inlineStr">
        <is>
          <t>Statut</t>
        </is>
      </c>
      <c r="J2" s="39" t="inlineStr">
        <is>
          <t>Testeur</t>
        </is>
      </c>
      <c r="K2" s="39" t="inlineStr">
        <is>
          <t>Date test</t>
        </is>
      </c>
      <c r="L2" s="39" t="inlineStr">
        <is>
          <t>Durée (min)</t>
        </is>
      </c>
      <c r="M2" s="39" t="inlineStr">
        <is>
          <t>Ticket / Requalification</t>
        </is>
      </c>
      <c r="N2" s="39" t="inlineStr">
        <is>
          <t>Commentaire / Amélioration</t>
        </is>
      </c>
      <c r="O2" s="39" t="inlineStr">
        <is>
          <t>Sprint</t>
        </is>
      </c>
      <c r="P2" s="39" t="inlineStr">
        <is>
          <t>Env.</t>
        </is>
      </c>
    </row>
    <row r="3" ht="58" customHeight="1">
      <c r="A3" s="86" t="inlineStr">
        <is>
          <t>CAB-001</t>
        </is>
      </c>
      <c r="B3" s="40" t="inlineStr">
        <is>
          <t>P1 — Critique</t>
        </is>
      </c>
      <c r="C3" s="41" t="inlineStr">
        <is>
          <t>Super admin — création d'un cabinet</t>
        </is>
      </c>
      <c r="D3" s="41" t="inlineStr">
        <is>
          <t>PlatformAgencies : POST /agency/agencies.</t>
        </is>
      </c>
      <c r="E3" s="41" t="inlineStr">
        <is>
          <t>superadmin</t>
        </is>
      </c>
      <c r="F3" s="41" t="inlineStr">
        <is>
          <t>1. Plateforme → Cabinets → Nouveau
2. Owner + email</t>
        </is>
      </c>
      <c r="G3" s="41" t="inlineStr">
        <is>
          <t>Cabinet créé, owner invité (email), visible dans la liste</t>
        </is>
      </c>
      <c r="H3" s="41" t="n"/>
      <c r="I3" s="42" t="n"/>
      <c r="J3" s="41" t="n"/>
      <c r="K3" s="41" t="n"/>
      <c r="L3" s="41" t="n"/>
      <c r="M3" s="41" t="n"/>
      <c r="N3" s="41" t="n"/>
      <c r="O3" s="41" t="inlineStr">
        <is>
          <t>Recette 10/2026</t>
        </is>
      </c>
      <c r="P3" s="41" t="inlineStr">
        <is>
          <t>Production</t>
        </is>
      </c>
    </row>
    <row r="4" ht="58" customHeight="1">
      <c r="A4" s="86" t="inlineStr">
        <is>
          <t>CAB-002</t>
        </is>
      </c>
      <c r="B4" s="40" t="inlineStr">
        <is>
          <t>P1 — Critique</t>
        </is>
      </c>
      <c r="C4" s="43" t="inlineStr">
        <is>
          <t>Super admin — rattachement d'un tenant client</t>
        </is>
      </c>
      <c r="D4" s="43" t="inlineStr">
        <is>
          <t>POST /agency/agencies/:id/tenants.</t>
        </is>
      </c>
      <c r="E4" s="43" t="inlineStr">
        <is>
          <t>Cabinet existant</t>
        </is>
      </c>
      <c r="F4" s="43" t="inlineStr">
        <is>
          <t>1. Cabinet → Clients → Rattacher SOTRA
2. Détacher</t>
        </is>
      </c>
      <c r="G4" s="43" t="inlineStr">
        <is>
          <t>Lien créé puis supprimé, audité</t>
        </is>
      </c>
      <c r="H4" s="43" t="n"/>
      <c r="I4" s="42" t="n"/>
      <c r="J4" s="43" t="n"/>
      <c r="K4" s="43" t="n"/>
      <c r="L4" s="43" t="n"/>
      <c r="M4" s="43" t="n"/>
      <c r="N4" s="43" t="n"/>
      <c r="O4" s="43" t="inlineStr">
        <is>
          <t>Recette 10/2026</t>
        </is>
      </c>
      <c r="P4" s="43" t="inlineStr">
        <is>
          <t>Production</t>
        </is>
      </c>
    </row>
    <row r="5" ht="58" customHeight="1">
      <c r="A5" s="86" t="inlineStr">
        <is>
          <t>CAB-003</t>
        </is>
      </c>
      <c r="B5" s="44" t="inlineStr">
        <is>
          <t>P2 — Haute</t>
        </is>
      </c>
      <c r="C5" s="41" t="inlineStr">
        <is>
          <t>Super admin — suspension / mise hors ligne d'un cabinet</t>
        </is>
      </c>
      <c r="D5" s="41" t="inlineStr">
        <is>
          <t>Option : propager aux tenants clients.</t>
        </is>
      </c>
      <c r="E5" s="41" t="inlineStr">
        <is>
          <t>Cabinet actif</t>
        </is>
      </c>
      <c r="F5" s="41" t="inlineStr">
        <is>
          <t>1. Suspendre avec message (avec et sans propagation)</t>
        </is>
      </c>
      <c r="G5" s="41" t="inlineStr">
        <is>
          <t>Membres bloqués avec message ; tenants clients bloqués seulement si propagation demandée</t>
        </is>
      </c>
      <c r="H5" s="41" t="n"/>
      <c r="I5" s="42" t="n"/>
      <c r="J5" s="41" t="n"/>
      <c r="K5" s="41" t="n"/>
      <c r="L5" s="41" t="n"/>
      <c r="M5" s="41" t="n"/>
      <c r="N5" s="41" t="n"/>
      <c r="O5" s="41" t="inlineStr">
        <is>
          <t>Recette 10/2026</t>
        </is>
      </c>
      <c r="P5" s="41" t="inlineStr">
        <is>
          <t>Production</t>
        </is>
      </c>
    </row>
    <row r="6" ht="58" customHeight="1">
      <c r="A6" s="86" t="inlineStr">
        <is>
          <t>CAB-004</t>
        </is>
      </c>
      <c r="B6" s="40" t="inlineStr">
        <is>
          <t>P1 — Critique</t>
        </is>
      </c>
      <c r="C6" s="43" t="inlineStr">
        <is>
          <t>Cabinet — tableau de bord et clients</t>
        </is>
      </c>
      <c r="D6" s="43" t="inlineStr">
        <is>
          <t>/agency : AgencyDashboard, AgencyClients.</t>
        </is>
      </c>
      <c r="E6" s="43" t="inlineStr">
        <is>
          <t>Owner du cabinet</t>
        </is>
      </c>
      <c r="F6" s="43" t="inlineStr">
        <is>
          <t>1. Se connecter owner
2. Tableau de bord, Clients</t>
        </is>
      </c>
      <c r="G6" s="43" t="inlineStr">
        <is>
          <t>Seuls les clients rattachés apparaissent</t>
        </is>
      </c>
      <c r="H6" s="43" t="n"/>
      <c r="I6" s="42" t="n"/>
      <c r="J6" s="43" t="n"/>
      <c r="K6" s="43" t="n"/>
      <c r="L6" s="43" t="n"/>
      <c r="M6" s="43" t="n"/>
      <c r="N6" s="43" t="n"/>
      <c r="O6" s="43" t="inlineStr">
        <is>
          <t>Recette 10/2026</t>
        </is>
      </c>
      <c r="P6" s="43" t="inlineStr">
        <is>
          <t>Production</t>
        </is>
      </c>
    </row>
    <row r="7" ht="58" customHeight="1">
      <c r="A7" s="86" t="inlineStr">
        <is>
          <t>CAB-005</t>
        </is>
      </c>
      <c r="B7" s="40" t="inlineStr">
        <is>
          <t>P1 — Critique</t>
        </is>
      </c>
      <c r="C7" s="41" t="inlineStr">
        <is>
          <t>Cabinet — session sur un tenant client (re-scoping)</t>
        </is>
      </c>
      <c r="D7" s="41" t="inlineStr">
        <is>
          <t>POST /agency/sessions/activate|deactivate.</t>
        </is>
      </c>
      <c r="E7" s="41" t="inlineStr">
        <is>
          <t>Owner/membre du cabinet</t>
        </is>
      </c>
      <c r="F7" s="41" t="inlineStr">
        <is>
          <t>1. Activer la session sur SOTRA
2. Ouvrir Recrutement
3. Désactiver</t>
        </is>
      </c>
      <c r="G7" s="41" t="inlineStr">
        <is>
          <t>Accès au recrutement du client uniquement ; après désactivation retour au cabinet ; actions auditées au nom du cabinet</t>
        </is>
      </c>
      <c r="H7" s="41" t="n"/>
      <c r="I7" s="42" t="n"/>
      <c r="J7" s="41" t="n"/>
      <c r="K7" s="41" t="n"/>
      <c r="L7" s="41" t="n"/>
      <c r="M7" s="41" t="n"/>
      <c r="N7" s="41" t="n"/>
      <c r="O7" s="41" t="inlineStr">
        <is>
          <t>Recette 10/2026</t>
        </is>
      </c>
      <c r="P7" s="41" t="inlineStr">
        <is>
          <t>Production</t>
        </is>
      </c>
    </row>
    <row r="8" ht="58" customHeight="1">
      <c r="A8" s="86" t="inlineStr">
        <is>
          <t>CAB-006</t>
        </is>
      </c>
      <c r="B8" s="40" t="inlineStr">
        <is>
          <t>P1 — Critique</t>
        </is>
      </c>
      <c r="C8" s="43" t="inlineStr">
        <is>
          <t>Cabinet — isolation entre clients</t>
        </is>
      </c>
      <c r="D8" s="43" t="inlineStr">
        <is>
          <t>Un cabinet n'accède jamais à un tenant non rattaché.</t>
        </is>
      </c>
      <c r="E8" s="43" t="inlineStr">
        <is>
          <t>Owner du cabinet</t>
        </is>
      </c>
      <c r="F8" s="43" t="inlineStr">
        <is>
          <t>1. Activer une session sur un tenant non rattaché (API)</t>
        </is>
      </c>
      <c r="G8" s="43" t="inlineStr">
        <is>
          <t>403</t>
        </is>
      </c>
      <c r="H8" s="43" t="n"/>
      <c r="I8" s="42" t="n"/>
      <c r="J8" s="43" t="n"/>
      <c r="K8" s="43" t="n"/>
      <c r="L8" s="43" t="n"/>
      <c r="M8" s="43" t="n"/>
      <c r="N8" s="43" t="n"/>
      <c r="O8" s="43" t="inlineStr">
        <is>
          <t>Recette 10/2026</t>
        </is>
      </c>
      <c r="P8" s="43" t="inlineStr">
        <is>
          <t>Production</t>
        </is>
      </c>
    </row>
    <row r="9" ht="58" customHeight="1">
      <c r="A9" s="86" t="inlineStr">
        <is>
          <t>CAB-007</t>
        </is>
      </c>
      <c r="B9" s="44" t="inlineStr">
        <is>
          <t>P2 — Haute</t>
        </is>
      </c>
      <c r="C9" s="41" t="inlineStr">
        <is>
          <t>Cabinet — gestion des membres</t>
        </is>
      </c>
      <c r="D9" s="41" t="inlineStr">
        <is>
          <t>AgencyMembers : owner délégué.</t>
        </is>
      </c>
      <c r="E9" s="41" t="inlineStr">
        <is>
          <t>Owner</t>
        </is>
      </c>
      <c r="F9" s="41" t="inlineStr">
        <is>
          <t>1. Ajouter un membre
2. Le membre tente d'ajouter un membre</t>
        </is>
      </c>
      <c r="G9" s="41" t="inlineStr">
        <is>
          <t>Ajout par l'owner OK ; membre simple → 403</t>
        </is>
      </c>
      <c r="H9" s="41" t="n"/>
      <c r="I9" s="42" t="n"/>
      <c r="J9" s="41" t="n"/>
      <c r="K9" s="41" t="n"/>
      <c r="L9" s="41" t="n"/>
      <c r="M9" s="41" t="n"/>
      <c r="N9" s="41" t="n"/>
      <c r="O9" s="41" t="inlineStr">
        <is>
          <t>Recette 10/2026</t>
        </is>
      </c>
      <c r="P9" s="41" t="inlineStr">
        <is>
          <t>Production</t>
        </is>
      </c>
    </row>
    <row r="10" ht="58" customHeight="1">
      <c r="A10" s="86" t="inlineStr">
        <is>
          <t>CAB-008</t>
        </is>
      </c>
      <c r="B10" s="44" t="inlineStr">
        <is>
          <t>P2 — Haute</t>
        </is>
      </c>
      <c r="C10" s="43" t="inlineStr">
        <is>
          <t>Cabinet — création d'un tenant client par le cabinet</t>
        </is>
      </c>
      <c r="D10" s="43" t="inlineStr">
        <is>
          <t>POST /agency/client-tenants.</t>
        </is>
      </c>
      <c r="E10" s="43" t="inlineStr">
        <is>
          <t>Owner</t>
        </is>
      </c>
      <c r="F10" s="43" t="inlineStr">
        <is>
          <t>1. Créer un client depuis le cabinet</t>
        </is>
      </c>
      <c r="G10" s="43" t="inlineStr">
        <is>
          <t>Tenant créé et rattaché, modules par défaut</t>
        </is>
      </c>
      <c r="H10" s="43" t="n"/>
      <c r="I10" s="42" t="n"/>
      <c r="J10" s="43" t="n"/>
      <c r="K10" s="43" t="n"/>
      <c r="L10" s="43" t="n"/>
      <c r="M10" s="43" t="n"/>
      <c r="N10" s="43" t="n"/>
      <c r="O10" s="43" t="inlineStr">
        <is>
          <t>Recette 10/2026</t>
        </is>
      </c>
      <c r="P10" s="43" t="inlineStr">
        <is>
          <t>Production</t>
        </is>
      </c>
    </row>
    <row r="11" ht="58" customHeight="1">
      <c r="A11" s="86" t="inlineStr">
        <is>
          <t>CAB-009</t>
        </is>
      </c>
      <c r="B11" s="44" t="inlineStr">
        <is>
          <t>P2 — Haute</t>
        </is>
      </c>
      <c r="C11" s="41" t="inlineStr">
        <is>
          <t>Cabinet — MFA et refresh des membres</t>
        </is>
      </c>
      <c r="D11" s="41" t="inlineStr">
        <is>
          <t>MFA cabinet, renouvellement de jeton.</t>
        </is>
      </c>
      <c r="E11" s="41" t="inlineStr">
        <is>
          <t>Membre avec MFA</t>
        </is>
      </c>
      <c r="F11" s="41" t="inlineStr">
        <is>
          <t>1. Login cabinet avec MFA
2. Laisser expirer l'access token</t>
        </is>
      </c>
      <c r="G11" s="41" t="inlineStr">
        <is>
          <t>MFA demandé, refresh transparent</t>
        </is>
      </c>
      <c r="H11" s="41" t="n"/>
      <c r="I11" s="42" t="n"/>
      <c r="J11" s="41" t="n"/>
      <c r="K11" s="41" t="n"/>
      <c r="L11" s="41" t="n"/>
      <c r="M11" s="41" t="n"/>
      <c r="N11" s="41" t="n"/>
      <c r="O11" s="41" t="inlineStr">
        <is>
          <t>Recette 10/2026</t>
        </is>
      </c>
      <c r="P11" s="41" t="inlineStr">
        <is>
          <t>Production</t>
        </is>
      </c>
    </row>
  </sheetData>
  <mergeCells count="1">
    <mergeCell ref="A1:P1"/>
  </mergeCells>
  <conditionalFormatting sqref="A3:P11">
    <cfRule type="expression" priority="1" dxfId="0">
      <formula>$I3="✅ Passé"</formula>
    </cfRule>
    <cfRule type="expression" priority="2" dxfId="1">
      <formula>$I3="❌ Échoué"</formula>
    </cfRule>
    <cfRule type="expression" priority="3" dxfId="2">
      <formula>$I3="⚠️ Bloqué"</formula>
    </cfRule>
    <cfRule type="expression" priority="4" dxfId="3">
      <formula>$I3="▶️ En cours"</formula>
    </cfRule>
    <cfRule type="expression" priority="5" dxfId="4">
      <formula>$I3="⬜ Non exécuté"</formula>
    </cfRule>
  </conditionalFormatting>
  <dataValidations count="3">
    <dataValidation sqref="I3:I11" showDropDown="0" showInputMessage="0" showErrorMessage="0" allowBlank="1" type="list">
      <formula1>"✅ Passé,❌ Échoué,⚠️ Bloqué,▶️ En cours,⬜ Non exécuté"</formula1>
    </dataValidation>
    <dataValidation sqref="B3:B11" showDropDown="0" showInputMessage="0" showErrorMessage="0" allowBlank="1" type="list">
      <formula1>"P1 — Critique,P2 — Haute,P3 — Moyenne,P4 — Basse"</formula1>
    </dataValidation>
    <dataValidation sqref="P3:P11" showDropDown="0" showInputMessage="0" showErrorMessage="0" allowBlank="1" type="list">
      <formula1>"Production,Preprod,Local"</formula1>
    </dataValidation>
  </dataValidation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P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38" customWidth="1" min="3" max="3"/>
    <col width="32" customWidth="1" min="4" max="4"/>
    <col width="30" customWidth="1" min="5" max="5"/>
    <col width="40" customWidth="1" min="6" max="6"/>
    <col width="38" customWidth="1" min="7" max="7"/>
    <col width="38" customWidth="1" min="8" max="8"/>
    <col width="18" customWidth="1" min="9" max="9"/>
    <col width="16" customWidth="1" min="10" max="10"/>
    <col width="13" customWidth="1" min="11" max="11"/>
    <col width="12" customWidth="1" min="12" max="12"/>
    <col width="24" customWidth="1" min="13" max="13"/>
    <col width="36" customWidth="1" min="14" max="14"/>
    <col width="10" customWidth="1" min="15" max="15"/>
    <col width="12" customWidth="1" min="16" max="16"/>
  </cols>
  <sheetData>
    <row r="1" ht="26" customHeight="1">
      <c r="A1" s="38" t="inlineStr">
        <is>
          <t xml:space="preserve">  SCÉNARIOS END-TO-END  ·  12 scénarios</t>
        </is>
      </c>
    </row>
    <row r="2" ht="22" customHeight="1">
      <c r="A2" s="39" t="inlineStr">
        <is>
          <t>ID Test</t>
        </is>
      </c>
      <c r="B2" s="39" t="inlineStr">
        <is>
          <t>Priorité</t>
        </is>
      </c>
      <c r="C2" s="39" t="inlineStr">
        <is>
          <t>Titre du scénario</t>
        </is>
      </c>
      <c r="D2" s="39" t="inlineStr">
        <is>
          <t>Description / Contexte</t>
        </is>
      </c>
      <c r="E2" s="39" t="inlineStr">
        <is>
          <t>Prérequis / Données</t>
        </is>
      </c>
      <c r="F2" s="39" t="inlineStr">
        <is>
          <t>Étapes détaillées</t>
        </is>
      </c>
      <c r="G2" s="39" t="inlineStr">
        <is>
          <t>Résultat attendu</t>
        </is>
      </c>
      <c r="H2" s="39" t="inlineStr">
        <is>
          <t>Résultat obtenu</t>
        </is>
      </c>
      <c r="I2" s="39" t="inlineStr">
        <is>
          <t>Statut</t>
        </is>
      </c>
      <c r="J2" s="39" t="inlineStr">
        <is>
          <t>Testeur</t>
        </is>
      </c>
      <c r="K2" s="39" t="inlineStr">
        <is>
          <t>Date test</t>
        </is>
      </c>
      <c r="L2" s="39" t="inlineStr">
        <is>
          <t>Durée (min)</t>
        </is>
      </c>
      <c r="M2" s="39" t="inlineStr">
        <is>
          <t>Ticket / Requalification</t>
        </is>
      </c>
      <c r="N2" s="39" t="inlineStr">
        <is>
          <t>Commentaire / Amélioration</t>
        </is>
      </c>
      <c r="O2" s="39" t="inlineStr">
        <is>
          <t>Sprint</t>
        </is>
      </c>
      <c r="P2" s="39" t="inlineStr">
        <is>
          <t>Env.</t>
        </is>
      </c>
    </row>
    <row r="3" ht="58" customHeight="1">
      <c r="A3" s="4" t="inlineStr">
        <is>
          <t>E2E-001</t>
        </is>
      </c>
      <c r="B3" s="40" t="inlineStr">
        <is>
          <t>P1 — Critique</t>
        </is>
      </c>
      <c r="C3" s="41" t="inlineStr">
        <is>
          <t>Flux admin complet — de zéro à bulletins clôturés</t>
        </is>
      </c>
      <c r="D3" s="41" t="inlineStr">
        <is>
          <t>Créer employé → créer période → générer bulletins → clôturer → télécharger PDF</t>
        </is>
      </c>
      <c r="E3" s="41" t="inlineStr">
        <is>
          <t>Admin SOTRA connecté</t>
        </is>
      </c>
      <c r="F3" s="41" t="inlineStr">
        <is>
          <t>1. Créer nouvel employé avec salaire 250 000 FCFA
2. /payroll → Nouvelle période Mai 2025
3. Générer bulletins
4. Vérifier calcul CNPS+ITS
5. Clôturer
6. Télécharger PDF</t>
        </is>
      </c>
      <c r="G3" s="41" t="inlineStr">
        <is>
          <t>Tout le flux sans erreur 404/500, PDF correct avec données CI</t>
        </is>
      </c>
      <c r="H3" s="41" t="inlineStr">
        <is>
          <t>Flux admin : POST /employees (250 000 FCFA) 201 ; période de paie générée+clôturée (feuille PAY) ; bulletin PDF GET /my-payslips/:id/pdf 200. Sans 404/500.</t>
        </is>
      </c>
      <c r="I3" s="42" t="inlineStr">
        <is>
          <t>✅ Passé</t>
        </is>
      </c>
      <c r="J3" s="41" t="inlineStr">
        <is>
          <t>Agents IA + live</t>
        </is>
      </c>
      <c r="K3" s="41" t="inlineStr">
        <is>
          <t>24/06/2026</t>
        </is>
      </c>
      <c r="L3" s="41" t="inlineStr"/>
      <c r="M3" s="41" t="inlineStr"/>
      <c r="N3" s="41" t="inlineStr"/>
      <c r="O3" s="41" t="inlineStr">
        <is>
          <t>Sprint 1</t>
        </is>
      </c>
      <c r="P3" s="41" t="inlineStr">
        <is>
          <t>Production</t>
        </is>
      </c>
    </row>
    <row r="4" ht="58" customHeight="1">
      <c r="A4" s="4" t="inlineStr">
        <is>
          <t>E2E-002</t>
        </is>
      </c>
      <c r="B4" s="40" t="inlineStr">
        <is>
          <t>P1 — Critique</t>
        </is>
      </c>
      <c r="C4" s="43" t="inlineStr">
        <is>
          <t>Flux employé self-service complet</t>
        </is>
      </c>
      <c r="D4" s="43" t="inlineStr">
        <is>
          <t>Connexion → demande absence → consultation bulletin → note de frais</t>
        </is>
      </c>
      <c r="E4" s="43" t="inlineStr">
        <is>
          <t>employe@sotra.ci</t>
        </is>
      </c>
      <c r="F4" s="43" t="inlineStr">
        <is>
          <t>1. Connexion → /mon-espace
2. Nouvelle demande absence CP 3 jours
3. Consulter dernier bulletin → Télécharger
4. Créer note de frais brouillon</t>
        </is>
      </c>
      <c r="G4" s="43" t="inlineStr">
        <is>
          <t>Toutes les actions réussies sans erreur, données sauvegardées</t>
        </is>
      </c>
      <c r="H4" s="43" t="inlineStr">
        <is>
          <t>Flux employé : POST /absences (CP 3 j) 201 + POST /expenses (brouillon) 201 + bulletin PDF — toutes actions OK.</t>
        </is>
      </c>
      <c r="I4" s="42" t="inlineStr">
        <is>
          <t>✅ Passé</t>
        </is>
      </c>
      <c r="J4" s="43" t="inlineStr">
        <is>
          <t>Agents IA + live</t>
        </is>
      </c>
      <c r="K4" s="43" t="inlineStr">
        <is>
          <t>24/06/2026</t>
        </is>
      </c>
      <c r="L4" s="43" t="inlineStr"/>
      <c r="M4" s="43" t="inlineStr"/>
      <c r="N4" s="43" t="inlineStr"/>
      <c r="O4" s="43" t="inlineStr">
        <is>
          <t>Sprint 1</t>
        </is>
      </c>
      <c r="P4" s="43" t="inlineStr">
        <is>
          <t>Production</t>
        </is>
      </c>
    </row>
    <row r="5" ht="58" customHeight="1">
      <c r="A5" s="4" t="inlineStr">
        <is>
          <t>E2E-003</t>
        </is>
      </c>
      <c r="B5" s="40" t="inlineStr">
        <is>
          <t>P1 — Critique</t>
        </is>
      </c>
      <c r="C5" s="41" t="inlineStr">
        <is>
          <t>Flux RH — recrutement jusqu'à contrat</t>
        </is>
      </c>
      <c r="D5" s="41" t="inlineStr">
        <is>
          <t>Offre → candidature → hired → contrat</t>
        </is>
      </c>
      <c r="E5" s="41" t="inlineStr">
        <is>
          <t>hr_manager connecté</t>
        </is>
      </c>
      <c r="F5" s="41" t="inlineStr">
        <is>
          <t>1. Créer offre 'Technicien'
2. Ajouter candidature
3. Avancer jusqu'à 'hired'
4. Générer contrat CDI CI</t>
        </is>
      </c>
      <c r="G5" s="41" t="inlineStr">
        <is>
          <t>Contrat PDF généré avec clauses OHADA</t>
        </is>
      </c>
      <c r="H5" s="41" t="inlineStr">
        <is>
          <t>Flux RH : POST /recruitment/jobs 201 -&gt; POST /applications 201 -&gt; PATCH stage=hired -&gt; POST /ai/generate-document type=cdi_ci 200 (contrat OHADA).</t>
        </is>
      </c>
      <c r="I5" s="42" t="inlineStr">
        <is>
          <t>✅ Passé</t>
        </is>
      </c>
      <c r="J5" s="41" t="inlineStr">
        <is>
          <t>Agents IA + live</t>
        </is>
      </c>
      <c r="K5" s="41" t="inlineStr">
        <is>
          <t>24/06/2026</t>
        </is>
      </c>
      <c r="L5" s="41" t="inlineStr"/>
      <c r="M5" s="41" t="inlineStr"/>
      <c r="N5" s="41" t="inlineStr"/>
      <c r="O5" s="41" t="inlineStr">
        <is>
          <t>Sprint 1</t>
        </is>
      </c>
      <c r="P5" s="41" t="inlineStr">
        <is>
          <t>Production</t>
        </is>
      </c>
    </row>
    <row r="6" ht="58" customHeight="1">
      <c r="A6" s="4" t="inlineStr">
        <is>
          <t>E2E-004</t>
        </is>
      </c>
      <c r="B6" s="40" t="inlineStr">
        <is>
          <t>P1 — Critique</t>
        </is>
      </c>
      <c r="C6" s="43" t="inlineStr">
        <is>
          <t>Flux paie CNPS complet</t>
        </is>
      </c>
      <c r="D6" s="43" t="inlineStr">
        <is>
          <t>Bulletins → déclaration → export e-CNPS</t>
        </is>
      </c>
      <c r="E6" s="43" t="inlineStr">
        <is>
          <t>Admin + bulletins clôturés</t>
        </is>
      </c>
      <c r="F6" s="43" t="inlineStr">
        <is>
          <t>1. Clôturer paie d'un mois
2. /cnps → Générer déclaration
3. Exporter CSV e-CNPS
4. Vérifier totaux cohérents avec bulletins</t>
        </is>
      </c>
      <c r="G6" s="43" t="inlineStr">
        <is>
          <t>CSV cohérent avec la somme des cotisations des bulletins</t>
        </is>
      </c>
      <c r="H6" s="43" t="inlineStr">
        <is>
          <t>Flux CNPS : POST /cnps/declarations/generate {legalEntityId} (tenant multi-filiale) -&gt; déclaration créée ; GET /cnps/declarations/:id/export -&gt; CSV e-CNPS cohérent.</t>
        </is>
      </c>
      <c r="I6" s="42" t="inlineStr">
        <is>
          <t>✅ Passé</t>
        </is>
      </c>
      <c r="J6" s="43" t="inlineStr">
        <is>
          <t>Agents IA + live</t>
        </is>
      </c>
      <c r="K6" s="43" t="inlineStr">
        <is>
          <t>24/06/2026</t>
        </is>
      </c>
      <c r="L6" s="43" t="inlineStr"/>
      <c r="M6" s="43" t="inlineStr"/>
      <c r="N6" s="43" t="inlineStr"/>
      <c r="O6" s="43" t="inlineStr">
        <is>
          <t>Sprint 1</t>
        </is>
      </c>
      <c r="P6" s="43" t="inlineStr">
        <is>
          <t>Production</t>
        </is>
      </c>
    </row>
    <row r="7" ht="58" customHeight="1">
      <c r="A7" s="4" t="inlineStr">
        <is>
          <t>E2E-005</t>
        </is>
      </c>
      <c r="B7" s="40" t="inlineStr">
        <is>
          <t>P1 — Critique</t>
        </is>
      </c>
      <c r="C7" s="41" t="inlineStr">
        <is>
          <t>Création tenant via portail → login admin → données</t>
        </is>
      </c>
      <c r="D7" s="41" t="inlineStr">
        <is>
          <t>Super admin crée tenant, admin se connecte et voit les données démo</t>
        </is>
      </c>
      <c r="E7" s="41" t="inlineStr">
        <is>
          <t>Super admin connecté</t>
        </is>
      </c>
      <c r="F7" s="41" t="inlineStr">
        <is>
          <t>1. Créer tenant 'TestCo' avec seedDemoData=true
2. Noter tempPassword
3. Se connecter avec admin créé
4. Observer /dashboard</t>
        </is>
      </c>
      <c r="G7" s="41" t="inlineStr">
        <is>
          <t>Dashboard RH avec 8 employés, bulletins, absences — aucun écran vide</t>
        </is>
      </c>
      <c r="H7" s="41" t="inlineStr">
        <is>
          <t>Création tenant via portail : POST /platform/tenants {seedDemoData:true} 201 + tempPassword -&gt; login admin OK -&gt; dashboard 8 employés (aucun écran vide).</t>
        </is>
      </c>
      <c r="I7" s="42" t="inlineStr">
        <is>
          <t>✅ Passé</t>
        </is>
      </c>
      <c r="J7" s="41" t="inlineStr">
        <is>
          <t>Agents IA + live</t>
        </is>
      </c>
      <c r="K7" s="41" t="inlineStr">
        <is>
          <t>24/06/2026</t>
        </is>
      </c>
      <c r="L7" s="41" t="inlineStr"/>
      <c r="M7" s="41" t="inlineStr"/>
      <c r="N7" s="41" t="inlineStr"/>
      <c r="O7" s="41" t="inlineStr">
        <is>
          <t>Sprint 1</t>
        </is>
      </c>
      <c r="P7" s="41" t="inlineStr">
        <is>
          <t>Production</t>
        </is>
      </c>
    </row>
    <row r="8" ht="58" customHeight="1">
      <c r="A8" s="4" t="inlineStr">
        <is>
          <t>E2E-006</t>
        </is>
      </c>
      <c r="B8" s="44" t="inlineStr">
        <is>
          <t>P2 — Haute</t>
        </is>
      </c>
      <c r="C8" s="43" t="inlineStr">
        <is>
          <t>Flux paiement Mobile Money — campagne Wave complète</t>
        </is>
      </c>
      <c r="D8" s="43" t="inlineStr">
        <is>
          <t>Clôture → campagne → exécution → webhook → bulletin payé</t>
        </is>
      </c>
      <c r="E8" s="43" t="inlineStr">
        <is>
          <t>Admin + bulletins clôturés + Wave configuré</t>
        </is>
      </c>
      <c r="F8" s="43" t="inlineStr">
        <is>
          <t>1. Clôturer paie
2. Créer campagne Mobile Money
3. Exécuter pour employés Wave
4. Simuler callback success
5. Vérifier bulletin marqué 'payé'</t>
        </is>
      </c>
      <c r="G8" s="43" t="inlineStr">
        <is>
          <t>TXN référence stockée, bulletin payment_status = 'paid'</t>
        </is>
      </c>
      <c r="H8" s="43" t="inlineStr">
        <is>
          <t>Mobile Money : endpoint campagne fonctionnel (validation + requête bulletins éligibles) ; cycle complet Wave execute-&gt;callback-&gt;payé + référence TXN validé feuille MM. 404 'aucun bulletin éligible' attendu sur mois déjà payés par le seed.</t>
        </is>
      </c>
      <c r="I8" s="42" t="inlineStr">
        <is>
          <t>✅ Passé</t>
        </is>
      </c>
      <c r="J8" s="43" t="inlineStr">
        <is>
          <t>Agents IA + live</t>
        </is>
      </c>
      <c r="K8" s="43" t="inlineStr">
        <is>
          <t>24/06/2026</t>
        </is>
      </c>
      <c r="L8" s="43" t="inlineStr"/>
      <c r="M8" s="43" t="inlineStr"/>
      <c r="N8" s="43" t="inlineStr"/>
      <c r="O8" s="43" t="inlineStr">
        <is>
          <t>Sprint 1</t>
        </is>
      </c>
      <c r="P8" s="43" t="inlineStr">
        <is>
          <t>Production</t>
        </is>
      </c>
    </row>
    <row r="9" ht="78" customHeight="1">
      <c r="A9" s="4" t="inlineStr">
        <is>
          <t>E2E-007</t>
        </is>
      </c>
      <c r="B9" s="40" t="inlineStr">
        <is>
          <t>P1 — Critique</t>
        </is>
      </c>
      <c r="C9" s="41" t="inlineStr">
        <is>
          <t>Embauche → intégration → paie validée → bulletin publié</t>
        </is>
      </c>
      <c r="D9" s="41" t="inlineStr">
        <is>
          <t>Parcours complet avec circuit de paie nominatif.</t>
        </is>
      </c>
      <c r="E9" s="41" t="inlineStr">
        <is>
          <t>SOTRA ; circuit paie : valideur admin@</t>
        </is>
      </c>
      <c r="F9" s="41" t="inlineStr">
        <is>
          <t>1. rh@ crée le salarié + contrat
2. Parcours d'intégration auto-créé
3. rh@ génère et initie la paie 2026-10
4. admin@ valide via Mes validations
5. Clôture
6. Salarié consulte son bulletin</t>
        </is>
      </c>
      <c r="G9" s="41" t="inlineStr">
        <is>
          <t>Bulletin invisible jusqu'à la clôture puis visible ; historique nominatif complet ; aucune 500</t>
        </is>
      </c>
      <c r="H9" s="41" t="n"/>
      <c r="I9" s="42" t="n"/>
      <c r="J9" s="41" t="n"/>
      <c r="K9" s="41" t="n"/>
      <c r="L9" s="41" t="n"/>
      <c r="M9" s="41" t="n"/>
      <c r="N9" s="41" t="n"/>
      <c r="O9" s="41" t="inlineStr">
        <is>
          <t>Recette 10/2026</t>
        </is>
      </c>
      <c r="P9" s="41" t="inlineStr">
        <is>
          <t>Production</t>
        </is>
      </c>
    </row>
    <row r="10" ht="58" customHeight="1">
      <c r="A10" s="4" t="inlineStr">
        <is>
          <t>E2E-008</t>
        </is>
      </c>
      <c r="B10" s="40" t="inlineStr">
        <is>
          <t>P1 — Critique</t>
        </is>
      </c>
      <c r="C10" s="43" t="inlineStr">
        <is>
          <t>Absence avec circuit N+1 → N+2 → RH → paie</t>
        </is>
      </c>
      <c r="D10" s="43" t="inlineStr">
        <is>
          <t>Circuit absences 2 niveaux.</t>
        </is>
      </c>
      <c r="E10" s="43" t="inlineStr">
        <is>
          <t>Workflow absences = 2 niveaux</t>
        </is>
      </c>
      <c r="F10" s="43" t="inlineStr">
        <is>
          <t>1. employe@ demande une absence sans solde
2. N+1 vise, N+2 vise
3. RH approuve
4. Paie du mois</t>
        </is>
      </c>
      <c r="G10" s="43" t="inlineStr">
        <is>
          <t>Chaque visa tracé ; RH voit la demande seulement après les visas ; retenue en paie</t>
        </is>
      </c>
      <c r="H10" s="43" t="n"/>
      <c r="I10" s="42" t="n"/>
      <c r="J10" s="43" t="n"/>
      <c r="K10" s="43" t="n"/>
      <c r="L10" s="43" t="n"/>
      <c r="M10" s="43" t="n"/>
      <c r="N10" s="43" t="n"/>
      <c r="O10" s="43" t="inlineStr">
        <is>
          <t>Recette 10/2026</t>
        </is>
      </c>
      <c r="P10" s="43" t="inlineStr">
        <is>
          <t>Production</t>
        </is>
      </c>
    </row>
    <row r="11" ht="58" customHeight="1">
      <c r="A11" s="4" t="inlineStr">
        <is>
          <t>E2E-009</t>
        </is>
      </c>
      <c r="B11" s="40" t="inlineStr">
        <is>
          <t>P1 — Critique</t>
        </is>
      </c>
      <c r="C11" s="41" t="inlineStr">
        <is>
          <t>Sortie → solde de tout compte → bulletin de solde → CNPS</t>
        </is>
      </c>
      <c r="D11" s="41" t="inlineStr">
        <is>
          <t>Offboarding complet.</t>
        </is>
      </c>
      <c r="E11" s="41" t="inlineStr">
        <is>
          <t>Salarié Yao (cf. PAY)</t>
        </is>
      </c>
      <c r="F11" s="41" t="inlineStr">
        <is>
          <t>1. Dossier de sortie + checklist restitution
2. Calcul du solde
3. Paie du mois de sortie
4. Cessation CNPS
5. Clôture du dossier</t>
        </is>
      </c>
      <c r="G11" s="41" t="inlineStr">
        <is>
          <t>Indemnité 81 250, bulletin de solde, cessation déclarée, archivage en cascade (compte désactivé)</t>
        </is>
      </c>
      <c r="H11" s="41" t="n"/>
      <c r="I11" s="42" t="n"/>
      <c r="J11" s="41" t="n"/>
      <c r="K11" s="41" t="n"/>
      <c r="L11" s="41" t="n"/>
      <c r="M11" s="41" t="n"/>
      <c r="N11" s="41" t="n"/>
      <c r="O11" s="41" t="inlineStr">
        <is>
          <t>Recette 10/2026</t>
        </is>
      </c>
      <c r="P11" s="41" t="inlineStr">
        <is>
          <t>Production</t>
        </is>
      </c>
    </row>
    <row r="12" ht="58" customHeight="1">
      <c r="A12" s="4" t="inlineStr">
        <is>
          <t>E2E-010</t>
        </is>
      </c>
      <c r="B12" s="40" t="inlineStr">
        <is>
          <t>P1 — Critique</t>
        </is>
      </c>
      <c r="C12" s="43" t="inlineStr">
        <is>
          <t>Note de frais → validation → remboursement sur bulletin</t>
        </is>
      </c>
      <c r="D12" s="43" t="inlineStr">
        <is>
          <t>Circuit frais + paie.</t>
        </is>
      </c>
      <c r="E12" s="43" t="inlineStr">
        <is>
          <t>Workflow frais 1 niveau</t>
        </is>
      </c>
      <c r="F12" s="43" t="inlineStr">
        <is>
          <t>1. employe@ soumet 25 000
2. N+1 vise, RH approuve
3. Paie générée puis rejetée par le valideur
4. Regénérée, validée, clôturée</t>
        </is>
      </c>
      <c r="G12" s="43" t="inlineStr">
        <is>
          <t>Après rejet la note redevient « approuvée » ; après clôture : remboursée une seule fois</t>
        </is>
      </c>
      <c r="H12" s="43" t="n"/>
      <c r="I12" s="42" t="n"/>
      <c r="J12" s="43" t="n"/>
      <c r="K12" s="43" t="n"/>
      <c r="L12" s="43" t="n"/>
      <c r="M12" s="43" t="n"/>
      <c r="N12" s="43" t="n"/>
      <c r="O12" s="43" t="inlineStr">
        <is>
          <t>Recette 10/2026</t>
        </is>
      </c>
      <c r="P12" s="43" t="inlineStr">
        <is>
          <t>Production</t>
        </is>
      </c>
    </row>
    <row r="13" ht="58" customHeight="1">
      <c r="A13" s="4" t="inlineStr">
        <is>
          <t>E2E-011</t>
        </is>
      </c>
      <c r="B13" s="44" t="inlineStr">
        <is>
          <t>P2 — Haute</t>
        </is>
      </c>
      <c r="C13" s="41" t="inlineStr">
        <is>
          <t>Pointage → retenues → bulletin</t>
        </is>
      </c>
      <c r="D13" s="41" t="inlineStr">
        <is>
          <t>Badgeuse liée à la paie.</t>
        </is>
      </c>
      <c r="E13" s="41" t="inlineStr">
        <is>
          <t>Pointage + payroll_link actifs</t>
        </is>
      </c>
      <c r="F13" s="41" t="inlineStr">
        <is>
          <t>1. Import/saisie de pointages avec absence injustifiée
2. Recalcul des journées
3. Paie</t>
        </is>
      </c>
      <c r="G13" s="41" t="inlineStr">
        <is>
          <t>Lignes 1010/1020 au prorata, avertissement généré pour le salarié</t>
        </is>
      </c>
      <c r="H13" s="41" t="n"/>
      <c r="I13" s="42" t="n"/>
      <c r="J13" s="41" t="n"/>
      <c r="K13" s="41" t="n"/>
      <c r="L13" s="41" t="n"/>
      <c r="M13" s="41" t="n"/>
      <c r="N13" s="41" t="n"/>
      <c r="O13" s="41" t="inlineStr">
        <is>
          <t>Recette 10/2026</t>
        </is>
      </c>
      <c r="P13" s="41" t="inlineStr">
        <is>
          <t>Production</t>
        </is>
      </c>
    </row>
    <row r="14" ht="58" customHeight="1">
      <c r="A14" s="4" t="inlineStr">
        <is>
          <t>E2E-012</t>
        </is>
      </c>
      <c r="B14" s="44" t="inlineStr">
        <is>
          <t>P2 — Haute</t>
        </is>
      </c>
      <c r="C14" s="43" t="inlineStr">
        <is>
          <t>Cabinet de recrutement — client → offre → candidat</t>
        </is>
      </c>
      <c r="D14" s="43" t="inlineStr">
        <is>
          <t>Parcours agency.</t>
        </is>
      </c>
      <c r="E14" s="43" t="inlineStr">
        <is>
          <t>Cabinet avec tenant client</t>
        </is>
      </c>
      <c r="F14" s="43" t="inlineStr">
        <is>
          <t>1. Owner du cabinet active une session sur le client
2. Crée une offre, ajoute un candidat
3. Désactive la session</t>
        </is>
      </c>
      <c r="G14" s="43" t="inlineStr">
        <is>
          <t>Actions faites dans le schéma du client, auditées au nom du cabinet ; plus d'accès après désactivation</t>
        </is>
      </c>
      <c r="H14" s="43" t="n"/>
      <c r="I14" s="42" t="n"/>
      <c r="J14" s="43" t="n"/>
      <c r="K14" s="43" t="n"/>
      <c r="L14" s="43" t="n"/>
      <c r="M14" s="43" t="n"/>
      <c r="N14" s="43" t="n"/>
      <c r="O14" s="43" t="inlineStr">
        <is>
          <t>Recette 10/2026</t>
        </is>
      </c>
      <c r="P14" s="43" t="inlineStr">
        <is>
          <t>Production</t>
        </is>
      </c>
    </row>
  </sheetData>
  <mergeCells count="1">
    <mergeCell ref="A1:P1"/>
  </mergeCells>
  <conditionalFormatting sqref="A3:P14">
    <cfRule type="expression" priority="1" dxfId="0">
      <formula>$I3="✅ Passé"</formula>
    </cfRule>
    <cfRule type="expression" priority="2" dxfId="1">
      <formula>$I3="❌ Échoué"</formula>
    </cfRule>
    <cfRule type="expression" priority="3" dxfId="2">
      <formula>$I3="⚠️ Bloqué"</formula>
    </cfRule>
    <cfRule type="expression" priority="4" dxfId="3">
      <formula>$I3="▶️ En cours"</formula>
    </cfRule>
    <cfRule type="expression" priority="5" dxfId="4">
      <formula>$I3="⬜ Non exécuté"</formula>
    </cfRule>
  </conditionalFormatting>
  <dataValidations count="21">
    <dataValidation sqref="I3" showDropDown="0" showInputMessage="0" showErrorMessage="0" allowBlank="1" type="list">
      <formula1>"✅ Passé,❌ Échoué,⚠️ Bloqué,▶️ En cours,⬜ Non exécuté"</formula1>
    </dataValidation>
    <dataValidation sqref="B3" showDropDown="0" showInputMessage="0" showErrorMessage="0" allowBlank="1" type="list">
      <formula1>"P1 — Critique,P2 — Haute,P3 — Moyenne,P4 — Basse"</formula1>
    </dataValidation>
    <dataValidation sqref="P3" showDropDown="0" showInputMessage="0" showErrorMessage="0" allowBlank="1" type="list">
      <formula1>"Production,Preprod,Local"</formula1>
    </dataValidation>
    <dataValidation sqref="I4" showDropDown="0" showInputMessage="0" showErrorMessage="0" allowBlank="1" type="list">
      <formula1>"✅ Passé,❌ Échoué,⚠️ Bloqué,▶️ En cours,⬜ Non exécuté"</formula1>
    </dataValidation>
    <dataValidation sqref="B4" showDropDown="0" showInputMessage="0" showErrorMessage="0" allowBlank="1" type="list">
      <formula1>"P1 — Critique,P2 — Haute,P3 — Moyenne,P4 — Basse"</formula1>
    </dataValidation>
    <dataValidation sqref="P4" showDropDown="0" showInputMessage="0" showErrorMessage="0" allowBlank="1" type="list">
      <formula1>"Production,Preprod,Local"</formula1>
    </dataValidation>
    <dataValidation sqref="I5" showDropDown="0" showInputMessage="0" showErrorMessage="0" allowBlank="1" type="list">
      <formula1>"✅ Passé,❌ Échoué,⚠️ Bloqué,▶️ En cours,⬜ Non exécuté"</formula1>
    </dataValidation>
    <dataValidation sqref="B5" showDropDown="0" showInputMessage="0" showErrorMessage="0" allowBlank="1" type="list">
      <formula1>"P1 — Critique,P2 — Haute,P3 — Moyenne,P4 — Basse"</formula1>
    </dataValidation>
    <dataValidation sqref="P5" showDropDown="0" showInputMessage="0" showErrorMessage="0" allowBlank="1" type="list">
      <formula1>"Production,Preprod,Local"</formula1>
    </dataValidation>
    <dataValidation sqref="I6" showDropDown="0" showInputMessage="0" showErrorMessage="0" allowBlank="1" type="list">
      <formula1>"✅ Passé,❌ Échoué,⚠️ Bloqué,▶️ En cours,⬜ Non exécuté"</formula1>
    </dataValidation>
    <dataValidation sqref="B6" showDropDown="0" showInputMessage="0" showErrorMessage="0" allowBlank="1" type="list">
      <formula1>"P1 — Critique,P2 — Haute,P3 — Moyenne,P4 — Basse"</formula1>
    </dataValidation>
    <dataValidation sqref="P6" showDropDown="0" showInputMessage="0" showErrorMessage="0" allowBlank="1" type="list">
      <formula1>"Production,Preprod,Local"</formula1>
    </dataValidation>
    <dataValidation sqref="I7" showDropDown="0" showInputMessage="0" showErrorMessage="0" allowBlank="1" type="list">
      <formula1>"✅ Passé,❌ Échoué,⚠️ Bloqué,▶️ En cours,⬜ Non exécuté"</formula1>
    </dataValidation>
    <dataValidation sqref="B7" showDropDown="0" showInputMessage="0" showErrorMessage="0" allowBlank="1" type="list">
      <formula1>"P1 — Critique,P2 — Haute,P3 — Moyenne,P4 — Basse"</formula1>
    </dataValidation>
    <dataValidation sqref="P7" showDropDown="0" showInputMessage="0" showErrorMessage="0" allowBlank="1" type="list">
      <formula1>"Production,Preprod,Local"</formula1>
    </dataValidation>
    <dataValidation sqref="I8" showDropDown="0" showInputMessage="0" showErrorMessage="0" allowBlank="1" type="list">
      <formula1>"✅ Passé,❌ Échoué,⚠️ Bloqué,▶️ En cours,⬜ Non exécuté"</formula1>
    </dataValidation>
    <dataValidation sqref="B8" showDropDown="0" showInputMessage="0" showErrorMessage="0" allowBlank="1" type="list">
      <formula1>"P1 — Critique,P2 — Haute,P3 — Moyenne,P4 — Basse"</formula1>
    </dataValidation>
    <dataValidation sqref="P8" showDropDown="0" showInputMessage="0" showErrorMessage="0" allowBlank="1" type="list">
      <formula1>"Production,Preprod,Local"</formula1>
    </dataValidation>
    <dataValidation sqref="I9:I14" showDropDown="0" showInputMessage="0" showErrorMessage="0" allowBlank="1" type="list">
      <formula1>"✅ Passé,❌ Échoué,⚠️ Bloqué,▶️ En cours,⬜ Non exécuté"</formula1>
    </dataValidation>
    <dataValidation sqref="B9:B14" showDropDown="0" showInputMessage="0" showErrorMessage="0" allowBlank="1" type="list">
      <formula1>"P1 — Critique,P2 — Haute,P3 — Moyenne,P4 — Basse"</formula1>
    </dataValidation>
    <dataValidation sqref="P9:P14" showDropDown="0" showInputMessage="0" showErrorMessage="0" allowBlank="1" type="list">
      <formula1>"Production,Preprod,Local"</formula1>
    </dataValidation>
  </dataValidation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2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40" customWidth="1" min="4" max="4"/>
    <col width="4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40" customWidth="1" min="12" max="12"/>
  </cols>
  <sheetData>
    <row r="1" ht="24" customHeight="1">
      <c r="A1" s="65" t="inlineStr">
        <is>
          <t xml:space="preserve">  SUIVI DES TICKETS &amp; ANOMALIES — NexusRH CI</t>
        </is>
      </c>
    </row>
    <row r="2" ht="22" customHeight="1">
      <c r="A2" s="7" t="inlineStr">
        <is>
          <t>N° Ticket</t>
        </is>
      </c>
      <c r="B2" s="7" t="inlineStr">
        <is>
          <t>Lié au test</t>
        </is>
      </c>
      <c r="C2" s="7" t="inlineStr">
        <is>
          <t>Module</t>
        </is>
      </c>
      <c r="D2" s="7" t="inlineStr">
        <is>
          <t>Titre de l'anomalie</t>
        </is>
      </c>
      <c r="E2" s="7" t="inlineStr">
        <is>
          <t>Description détaillée</t>
        </is>
      </c>
      <c r="F2" s="7" t="inlineStr">
        <is>
          <t>Priorité</t>
        </is>
      </c>
      <c r="G2" s="7" t="inlineStr">
        <is>
          <t>Sévérité</t>
        </is>
      </c>
      <c r="H2" s="7" t="inlineStr">
        <is>
          <t>Statut ticket</t>
        </is>
      </c>
      <c r="I2" s="7" t="inlineStr">
        <is>
          <t>Assigné à</t>
        </is>
      </c>
      <c r="J2" s="7" t="inlineStr">
        <is>
          <t>Date création</t>
        </is>
      </c>
      <c r="K2" s="7" t="inlineStr">
        <is>
          <t>Date résolution</t>
        </is>
      </c>
      <c r="L2" s="7" t="inlineStr">
        <is>
          <t>Commentaires</t>
        </is>
      </c>
    </row>
    <row r="3" ht="55" customHeight="1">
      <c r="A3" s="7" t="inlineStr">
        <is>
          <t>NRH-001</t>
        </is>
      </c>
      <c r="B3" s="41" t="inlineStr">
        <is>
          <t>CNP-006</t>
        </is>
      </c>
      <c r="C3" s="41" t="inlineStr">
        <is>
          <t>CNPS</t>
        </is>
      </c>
      <c r="D3" s="41" t="inlineStr">
        <is>
          <t>RNS PDF retourne 500</t>
        </is>
      </c>
      <c r="E3" s="41" t="inlineStr">
        <is>
          <t>Le fichier rns-template.pdf n'était pas copié dans dist/assets dans le Dockerfile.</t>
        </is>
      </c>
      <c r="F3" s="40" t="inlineStr">
        <is>
          <t>P1 — Critique</t>
        </is>
      </c>
      <c r="G3" s="41" t="inlineStr">
        <is>
          <t>🔴 Critique</t>
        </is>
      </c>
      <c r="H3" s="41" t="inlineStr">
        <is>
          <t>✅ Résolu</t>
        </is>
      </c>
      <c r="I3" s="41" t="inlineStr">
        <is>
          <t>DevOps</t>
        </is>
      </c>
      <c r="J3" s="41" t="inlineStr">
        <is>
          <t>15/05/2026</t>
        </is>
      </c>
      <c r="K3" s="41" t="inlineStr">
        <is>
          <t>15/05/2026</t>
        </is>
      </c>
      <c r="L3" s="41" t="inlineStr">
        <is>
          <t>Fix: COPY src/assets → dist/assets dans API Dockerfile. Déployé en prod.</t>
        </is>
      </c>
    </row>
    <row r="4" ht="55" customHeight="1">
      <c r="A4" s="7" t="inlineStr">
        <is>
          <t>NRH-002</t>
        </is>
      </c>
      <c r="B4" s="43" t="inlineStr">
        <is>
          <t>AUTH-003</t>
        </is>
      </c>
      <c r="C4" s="43" t="inlineStr">
        <is>
          <t>AUTH</t>
        </is>
      </c>
      <c r="D4" s="43" t="inlineStr">
        <is>
          <t>Login page silencieuse sans afficher l'erreur 401</t>
        </is>
      </c>
      <c r="E4" s="43" t="inlineStr">
        <is>
          <t>L'intercepteur Axios interceptait les routes /auth/ et faisait window.location.href='/login' avant que le composant puisse afficher l'erreur.</t>
        </is>
      </c>
      <c r="F4" s="40" t="inlineStr">
        <is>
          <t>P1 — Critique</t>
        </is>
      </c>
      <c r="G4" s="43" t="inlineStr">
        <is>
          <t>🔴 Critique</t>
        </is>
      </c>
      <c r="H4" s="43" t="inlineStr">
        <is>
          <t>✅ Résolu</t>
        </is>
      </c>
      <c r="I4" s="43" t="inlineStr">
        <is>
          <t>Frontend</t>
        </is>
      </c>
      <c r="J4" s="43" t="inlineStr">
        <is>
          <t>15/05/2026</t>
        </is>
      </c>
      <c r="K4" s="43" t="inlineStr">
        <is>
          <t>15/05/2026</t>
        </is>
      </c>
      <c r="L4" s="43" t="inlineStr">
        <is>
          <t>Fix: intercepteur 401 skip /auth/ routes. Commité et déployé.</t>
        </is>
      </c>
    </row>
    <row r="5" ht="55" customHeight="1">
      <c r="A5" s="7" t="inlineStr">
        <is>
          <t>NRH-003</t>
        </is>
      </c>
      <c r="B5" s="41" t="inlineStr">
        <is>
          <t>AUTH-011</t>
        </is>
      </c>
      <c r="C5" s="41" t="inlineStr">
        <is>
          <t>AUTH</t>
        </is>
      </c>
      <c r="D5" s="41" t="inlineStr">
        <is>
          <t>must_change_password déclenché sur tous les comptes seedés</t>
        </is>
      </c>
      <c r="E5" s="41" t="inlineStr">
        <is>
          <t>last_login_at = NULL dans le seed → must_change_password = true pour tous les utilisateurs.</t>
        </is>
      </c>
      <c r="F5" s="44" t="inlineStr">
        <is>
          <t>P2 — Haute</t>
        </is>
      </c>
      <c r="G5" s="41" t="inlineStr">
        <is>
          <t>🟠 Majeure</t>
        </is>
      </c>
      <c r="H5" s="41" t="inlineStr">
        <is>
          <t>✅ Résolu</t>
        </is>
      </c>
      <c r="I5" s="41" t="inlineStr">
        <is>
          <t>Backend</t>
        </is>
      </c>
      <c r="J5" s="41" t="inlineStr">
        <is>
          <t>15/05/2026</t>
        </is>
      </c>
      <c r="K5" s="41" t="inlineStr">
        <is>
          <t>15/05/2026</t>
        </is>
      </c>
      <c r="L5" s="41" t="inlineStr">
        <is>
          <t>Fix: seed.ts ajoute last_login_at = now() pour tous les users seedés.</t>
        </is>
      </c>
    </row>
    <row r="6" ht="40" customHeight="1">
      <c r="A6" s="66" t="inlineStr">
        <is>
          <t>NRH-004</t>
        </is>
      </c>
      <c r="B6" s="67" t="inlineStr"/>
      <c r="C6" s="67" t="inlineStr"/>
      <c r="D6" s="67" t="inlineStr"/>
      <c r="E6" s="67" t="inlineStr"/>
      <c r="F6" s="67" t="inlineStr"/>
      <c r="G6" s="67" t="inlineStr"/>
      <c r="H6" s="67" t="inlineStr"/>
      <c r="I6" s="67" t="inlineStr"/>
      <c r="J6" s="67" t="inlineStr"/>
      <c r="K6" s="67" t="inlineStr"/>
      <c r="L6" s="67" t="inlineStr"/>
    </row>
    <row r="7" ht="40" customHeight="1">
      <c r="A7" s="66" t="inlineStr">
        <is>
          <t>NRH-005</t>
        </is>
      </c>
      <c r="B7" s="68" t="inlineStr"/>
      <c r="C7" s="68" t="inlineStr"/>
      <c r="D7" s="68" t="inlineStr"/>
      <c r="E7" s="68" t="inlineStr"/>
      <c r="F7" s="68" t="inlineStr"/>
      <c r="G7" s="68" t="inlineStr"/>
      <c r="H7" s="68" t="inlineStr"/>
      <c r="I7" s="68" t="inlineStr"/>
      <c r="J7" s="68" t="inlineStr"/>
      <c r="K7" s="68" t="inlineStr"/>
      <c r="L7" s="68" t="inlineStr"/>
    </row>
    <row r="8" ht="40" customHeight="1">
      <c r="A8" s="66" t="inlineStr">
        <is>
          <t>NRH-006</t>
        </is>
      </c>
      <c r="B8" s="67" t="inlineStr"/>
      <c r="C8" s="67" t="inlineStr"/>
      <c r="D8" s="67" t="inlineStr"/>
      <c r="E8" s="67" t="inlineStr"/>
      <c r="F8" s="67" t="inlineStr"/>
      <c r="G8" s="67" t="inlineStr"/>
      <c r="H8" s="67" t="inlineStr"/>
      <c r="I8" s="67" t="inlineStr"/>
      <c r="J8" s="67" t="inlineStr"/>
      <c r="K8" s="67" t="inlineStr"/>
      <c r="L8" s="67" t="inlineStr"/>
    </row>
    <row r="9" ht="40" customHeight="1">
      <c r="A9" s="66" t="inlineStr">
        <is>
          <t>NRH-007</t>
        </is>
      </c>
      <c r="B9" s="68" t="inlineStr"/>
      <c r="C9" s="68" t="inlineStr"/>
      <c r="D9" s="68" t="inlineStr"/>
      <c r="E9" s="68" t="inlineStr"/>
      <c r="F9" s="68" t="inlineStr"/>
      <c r="G9" s="68" t="inlineStr"/>
      <c r="H9" s="68" t="inlineStr"/>
      <c r="I9" s="68" t="inlineStr"/>
      <c r="J9" s="68" t="inlineStr"/>
      <c r="K9" s="68" t="inlineStr"/>
      <c r="L9" s="68" t="inlineStr"/>
    </row>
    <row r="10" ht="40" customHeight="1">
      <c r="A10" s="66" t="inlineStr">
        <is>
          <t>NRH-008</t>
        </is>
      </c>
      <c r="B10" s="67" t="inlineStr"/>
      <c r="C10" s="67" t="inlineStr"/>
      <c r="D10" s="67" t="inlineStr"/>
      <c r="E10" s="67" t="inlineStr"/>
      <c r="F10" s="67" t="inlineStr"/>
      <c r="G10" s="67" t="inlineStr"/>
      <c r="H10" s="67" t="inlineStr"/>
      <c r="I10" s="67" t="inlineStr"/>
      <c r="J10" s="67" t="inlineStr"/>
      <c r="K10" s="67" t="inlineStr"/>
      <c r="L10" s="67" t="inlineStr"/>
    </row>
    <row r="11" ht="40" customHeight="1">
      <c r="A11" s="66" t="inlineStr">
        <is>
          <t>NRH-009</t>
        </is>
      </c>
      <c r="B11" s="68" t="inlineStr"/>
      <c r="C11" s="68" t="inlineStr"/>
      <c r="D11" s="68" t="inlineStr"/>
      <c r="E11" s="68" t="inlineStr"/>
      <c r="F11" s="68" t="inlineStr"/>
      <c r="G11" s="68" t="inlineStr"/>
      <c r="H11" s="68" t="inlineStr"/>
      <c r="I11" s="68" t="inlineStr"/>
      <c r="J11" s="68" t="inlineStr"/>
      <c r="K11" s="68" t="inlineStr"/>
      <c r="L11" s="68" t="inlineStr"/>
    </row>
    <row r="12" ht="40" customHeight="1">
      <c r="A12" s="66" t="inlineStr">
        <is>
          <t>NRH-010</t>
        </is>
      </c>
      <c r="B12" s="67" t="inlineStr"/>
      <c r="C12" s="67" t="inlineStr"/>
      <c r="D12" s="67" t="inlineStr"/>
      <c r="E12" s="67" t="inlineStr"/>
      <c r="F12" s="67" t="inlineStr"/>
      <c r="G12" s="67" t="inlineStr"/>
      <c r="H12" s="67" t="inlineStr"/>
      <c r="I12" s="67" t="inlineStr"/>
      <c r="J12" s="67" t="inlineStr"/>
      <c r="K12" s="67" t="inlineStr"/>
      <c r="L12" s="67" t="inlineStr"/>
    </row>
    <row r="13" ht="40" customHeight="1">
      <c r="A13" s="66" t="inlineStr">
        <is>
          <t>NRH-011</t>
        </is>
      </c>
      <c r="B13" s="68" t="inlineStr"/>
      <c r="C13" s="68" t="inlineStr"/>
      <c r="D13" s="68" t="inlineStr"/>
      <c r="E13" s="68" t="inlineStr"/>
      <c r="F13" s="68" t="inlineStr"/>
      <c r="G13" s="68" t="inlineStr"/>
      <c r="H13" s="68" t="inlineStr"/>
      <c r="I13" s="68" t="inlineStr"/>
      <c r="J13" s="68" t="inlineStr"/>
      <c r="K13" s="68" t="inlineStr"/>
      <c r="L13" s="68" t="inlineStr"/>
    </row>
    <row r="14" ht="40" customHeight="1">
      <c r="A14" s="66" t="inlineStr">
        <is>
          <t>NRH-012</t>
        </is>
      </c>
      <c r="B14" s="67" t="inlineStr"/>
      <c r="C14" s="67" t="inlineStr"/>
      <c r="D14" s="67" t="inlineStr"/>
      <c r="E14" s="67" t="inlineStr"/>
      <c r="F14" s="67" t="inlineStr"/>
      <c r="G14" s="67" t="inlineStr"/>
      <c r="H14" s="67" t="inlineStr"/>
      <c r="I14" s="67" t="inlineStr"/>
      <c r="J14" s="67" t="inlineStr"/>
      <c r="K14" s="67" t="inlineStr"/>
      <c r="L14" s="67" t="inlineStr"/>
    </row>
    <row r="15" ht="40" customHeight="1">
      <c r="A15" s="66" t="inlineStr">
        <is>
          <t>NRH-013</t>
        </is>
      </c>
      <c r="B15" s="68" t="inlineStr"/>
      <c r="C15" s="68" t="inlineStr"/>
      <c r="D15" s="68" t="inlineStr"/>
      <c r="E15" s="68" t="inlineStr"/>
      <c r="F15" s="68" t="inlineStr"/>
      <c r="G15" s="68" t="inlineStr"/>
      <c r="H15" s="68" t="inlineStr"/>
      <c r="I15" s="68" t="inlineStr"/>
      <c r="J15" s="68" t="inlineStr"/>
      <c r="K15" s="68" t="inlineStr"/>
      <c r="L15" s="68" t="inlineStr"/>
    </row>
    <row r="16" ht="40" customHeight="1">
      <c r="A16" s="66" t="inlineStr">
        <is>
          <t>NRH-014</t>
        </is>
      </c>
      <c r="B16" s="67" t="inlineStr"/>
      <c r="C16" s="67" t="inlineStr"/>
      <c r="D16" s="67" t="inlineStr"/>
      <c r="E16" s="67" t="inlineStr"/>
      <c r="F16" s="67" t="inlineStr"/>
      <c r="G16" s="67" t="inlineStr"/>
      <c r="H16" s="67" t="inlineStr"/>
      <c r="I16" s="67" t="inlineStr"/>
      <c r="J16" s="67" t="inlineStr"/>
      <c r="K16" s="67" t="inlineStr"/>
      <c r="L16" s="67" t="inlineStr"/>
    </row>
    <row r="17" ht="40" customHeight="1">
      <c r="A17" s="66" t="inlineStr">
        <is>
          <t>NRH-015</t>
        </is>
      </c>
      <c r="B17" s="68" t="inlineStr"/>
      <c r="C17" s="68" t="inlineStr"/>
      <c r="D17" s="68" t="inlineStr"/>
      <c r="E17" s="68" t="inlineStr"/>
      <c r="F17" s="68" t="inlineStr"/>
      <c r="G17" s="68" t="inlineStr"/>
      <c r="H17" s="68" t="inlineStr"/>
      <c r="I17" s="68" t="inlineStr"/>
      <c r="J17" s="68" t="inlineStr"/>
      <c r="K17" s="68" t="inlineStr"/>
      <c r="L17" s="68" t="inlineStr"/>
    </row>
    <row r="18" ht="40" customHeight="1">
      <c r="A18" s="66" t="inlineStr">
        <is>
          <t>NRH-016</t>
        </is>
      </c>
      <c r="B18" s="67" t="inlineStr"/>
      <c r="C18" s="67" t="inlineStr"/>
      <c r="D18" s="67" t="inlineStr"/>
      <c r="E18" s="67" t="inlineStr"/>
      <c r="F18" s="67" t="inlineStr"/>
      <c r="G18" s="67" t="inlineStr"/>
      <c r="H18" s="67" t="inlineStr"/>
      <c r="I18" s="67" t="inlineStr"/>
      <c r="J18" s="67" t="inlineStr"/>
      <c r="K18" s="67" t="inlineStr"/>
      <c r="L18" s="67" t="inlineStr"/>
    </row>
    <row r="19" ht="40" customHeight="1">
      <c r="A19" s="66" t="inlineStr">
        <is>
          <t>NRH-017</t>
        </is>
      </c>
      <c r="B19" s="68" t="inlineStr"/>
      <c r="C19" s="68" t="inlineStr"/>
      <c r="D19" s="68" t="inlineStr"/>
      <c r="E19" s="68" t="inlineStr"/>
      <c r="F19" s="68" t="inlineStr"/>
      <c r="G19" s="68" t="inlineStr"/>
      <c r="H19" s="68" t="inlineStr"/>
      <c r="I19" s="68" t="inlineStr"/>
      <c r="J19" s="68" t="inlineStr"/>
      <c r="K19" s="68" t="inlineStr"/>
      <c r="L19" s="68" t="inlineStr"/>
    </row>
    <row r="20" ht="40" customHeight="1">
      <c r="A20" s="66" t="inlineStr">
        <is>
          <t>NRH-018</t>
        </is>
      </c>
      <c r="B20" s="67" t="inlineStr"/>
      <c r="C20" s="67" t="inlineStr"/>
      <c r="D20" s="67" t="inlineStr"/>
      <c r="E20" s="67" t="inlineStr"/>
      <c r="F20" s="67" t="inlineStr"/>
      <c r="G20" s="67" t="inlineStr"/>
      <c r="H20" s="67" t="inlineStr"/>
      <c r="I20" s="67" t="inlineStr"/>
      <c r="J20" s="67" t="inlineStr"/>
      <c r="K20" s="67" t="inlineStr"/>
      <c r="L20" s="67" t="inlineStr"/>
    </row>
    <row r="21" ht="40" customHeight="1">
      <c r="A21" s="66" t="inlineStr">
        <is>
          <t>NRH-019</t>
        </is>
      </c>
      <c r="B21" s="68" t="inlineStr"/>
      <c r="C21" s="68" t="inlineStr"/>
      <c r="D21" s="68" t="inlineStr"/>
      <c r="E21" s="68" t="inlineStr"/>
      <c r="F21" s="68" t="inlineStr"/>
      <c r="G21" s="68" t="inlineStr"/>
      <c r="H21" s="68" t="inlineStr"/>
      <c r="I21" s="68" t="inlineStr"/>
      <c r="J21" s="68" t="inlineStr"/>
      <c r="K21" s="68" t="inlineStr"/>
      <c r="L21" s="68" t="inlineStr"/>
    </row>
    <row r="22" ht="40" customHeight="1">
      <c r="A22" s="66" t="inlineStr">
        <is>
          <t>NRH-020</t>
        </is>
      </c>
      <c r="B22" s="67" t="inlineStr"/>
      <c r="C22" s="67" t="inlineStr"/>
      <c r="D22" s="67" t="inlineStr"/>
      <c r="E22" s="67" t="inlineStr"/>
      <c r="F22" s="67" t="inlineStr"/>
      <c r="G22" s="67" t="inlineStr"/>
      <c r="H22" s="67" t="inlineStr"/>
      <c r="I22" s="67" t="inlineStr"/>
      <c r="J22" s="67" t="inlineStr"/>
      <c r="K22" s="67" t="inlineStr"/>
      <c r="L22" s="67" t="inlineStr"/>
    </row>
    <row r="23" ht="40" customHeight="1">
      <c r="A23" s="66" t="inlineStr">
        <is>
          <t>NRH-021</t>
        </is>
      </c>
      <c r="B23" s="68" t="inlineStr"/>
      <c r="C23" s="68" t="inlineStr"/>
      <c r="D23" s="68" t="inlineStr"/>
      <c r="E23" s="68" t="inlineStr"/>
      <c r="F23" s="68" t="inlineStr"/>
      <c r="G23" s="68" t="inlineStr"/>
      <c r="H23" s="68" t="inlineStr"/>
      <c r="I23" s="68" t="inlineStr"/>
      <c r="J23" s="68" t="inlineStr"/>
      <c r="K23" s="68" t="inlineStr"/>
      <c r="L23" s="68" t="inlineStr"/>
    </row>
    <row r="24" ht="40" customHeight="1">
      <c r="A24" s="66" t="inlineStr">
        <is>
          <t>NRH-022</t>
        </is>
      </c>
      <c r="B24" s="67" t="inlineStr"/>
      <c r="C24" s="67" t="inlineStr"/>
      <c r="D24" s="67" t="inlineStr"/>
      <c r="E24" s="67" t="inlineStr"/>
      <c r="F24" s="67" t="inlineStr"/>
      <c r="G24" s="67" t="inlineStr"/>
      <c r="H24" s="67" t="inlineStr"/>
      <c r="I24" s="67" t="inlineStr"/>
      <c r="J24" s="67" t="inlineStr"/>
      <c r="K24" s="67" t="inlineStr"/>
      <c r="L24" s="67" t="inlineStr"/>
    </row>
    <row r="25" ht="40" customHeight="1">
      <c r="A25" s="66" t="inlineStr">
        <is>
          <t>NRH-023</t>
        </is>
      </c>
      <c r="B25" s="68" t="inlineStr"/>
      <c r="C25" s="68" t="inlineStr"/>
      <c r="D25" s="68" t="inlineStr"/>
      <c r="E25" s="68" t="inlineStr"/>
      <c r="F25" s="68" t="inlineStr"/>
      <c r="G25" s="68" t="inlineStr"/>
      <c r="H25" s="68" t="inlineStr"/>
      <c r="I25" s="68" t="inlineStr"/>
      <c r="J25" s="68" t="inlineStr"/>
      <c r="K25" s="68" t="inlineStr"/>
      <c r="L25" s="68" t="inlineStr"/>
    </row>
  </sheetData>
  <mergeCells count="1">
    <mergeCell ref="A1:L1"/>
  </mergeCells>
  <dataValidations count="729">
    <dataValidation sqref="H3" showDropDown="0" showInputMessage="0" showErrorMessage="0" allowBlank="1" type="list">
      <formula1>"✅ Résolu,🔄 En cours,⏳ À faire,🚫 Abandonné"</formula1>
    </dataValidation>
    <dataValidation sqref="G3" showDropDown="0" showInputMessage="0" showErrorMessage="0" allowBlank="1" type="list">
      <formula1>"🔴 Critique,🟠 Majeure,🟡 Mineure,🟢 Cosmétique"</formula1>
    </dataValidation>
    <dataValidation sqref="F3" showDropDown="0" showInputMessage="0" showErrorMessage="0" allowBlank="1" type="list">
      <formula1>"P1 — Critique,P2 — Haute,P3 — Moyenne,P4 — Basse"</formula1>
    </dataValidation>
    <dataValidation sqref="H4" showDropDown="0" showInputMessage="0" showErrorMessage="0" allowBlank="1" type="list">
      <formula1>"✅ Résolu,🔄 En cours,⏳ À faire,🚫 Abandonné"</formula1>
    </dataValidation>
    <dataValidation sqref="G4" showDropDown="0" showInputMessage="0" showErrorMessage="0" allowBlank="1" type="list">
      <formula1>"🔴 Critique,🟠 Majeure,🟡 Mineure,🟢 Cosmétique"</formula1>
    </dataValidation>
    <dataValidation sqref="F4" showDropDown="0" showInputMessage="0" showErrorMessage="0" allowBlank="1" type="list">
      <formula1>"P1 — Critique,P2 — Haute,P3 — Moyenne,P4 — Basse"</formula1>
    </dataValidation>
    <dataValidation sqref="H5" showDropDown="0" showInputMessage="0" showErrorMessage="0" allowBlank="1" type="list">
      <formula1>"✅ Résolu,🔄 En cours,⏳ À faire,🚫 Abandonné"</formula1>
    </dataValidation>
    <dataValidation sqref="G5" showDropDown="0" showInputMessage="0" showErrorMessage="0" allowBlank="1" type="list">
      <formula1>"🔴 Critique,🟠 Majeure,🟡 Mineure,🟢 Cosmétique"</formula1>
    </dataValidation>
    <dataValidation sqref="F5" showDropDown="0" showInputMessage="0" showErrorMessage="0" allowBlank="1" type="list">
      <formula1>"P1 — Critique,P2 — Haute,P3 — Moyenne,P4 — Basse"</formula1>
    </dataValidation>
    <dataValidation sqref="H6" showDropDown="0" showInputMessage="0" showErrorMessage="0" allowBlank="1" type="list">
      <formula1>"✅ Résolu,🔄 En cours,⏳ À faire,🚫 Abandonné"</formula1>
    </dataValidation>
    <dataValidation sqref="G6" showDropDown="0" showInputMessage="0" showErrorMessage="0" allowBlank="1" type="list">
      <formula1>"🔴 Critique,🟠 Majeure,🟡 Mineure,🟢 Cosmétique"</formula1>
    </dataValidation>
    <dataValidation sqref="F6" showDropDown="0" showInputMessage="0" showErrorMessage="0" allowBlank="1" type="list">
      <formula1>"P1 — Critique,P2 — Haute,P3 — Moyenne,P4 — Basse"</formula1>
    </dataValidation>
    <dataValidation sqref="H6" showDropDown="0" showInputMessage="0" showErrorMessage="0" allowBlank="1" type="list">
      <formula1>"✅ Résolu,🔄 En cours,⏳ À faire,🚫 Abandonné"</formula1>
    </dataValidation>
    <dataValidation sqref="G6" showDropDown="0" showInputMessage="0" showErrorMessage="0" allowBlank="1" type="list">
      <formula1>"🔴 Critique,🟠 Majeure,🟡 Mineure,🟢 Cosmétique"</formula1>
    </dataValidation>
    <dataValidation sqref="F6" showDropDown="0" showInputMessage="0" showErrorMessage="0" allowBlank="1" type="list">
      <formula1>"P1 — Critique,P2 — Haute,P3 — Moyenne,P4 — Basse"</formula1>
    </dataValidation>
    <dataValidation sqref="H6" showDropDown="0" showInputMessage="0" showErrorMessage="0" allowBlank="1" type="list">
      <formula1>"✅ Résolu,🔄 En cours,⏳ À faire,🚫 Abandonné"</formula1>
    </dataValidation>
    <dataValidation sqref="G6" showDropDown="0" showInputMessage="0" showErrorMessage="0" allowBlank="1" type="list">
      <formula1>"🔴 Critique,🟠 Majeure,🟡 Mineure,🟢 Cosmétique"</formula1>
    </dataValidation>
    <dataValidation sqref="F6" showDropDown="0" showInputMessage="0" showErrorMessage="0" allowBlank="1" type="list">
      <formula1>"P1 — Critique,P2 — Haute,P3 — Moyenne,P4 — Basse"</formula1>
    </dataValidation>
    <dataValidation sqref="H6" showDropDown="0" showInputMessage="0" showErrorMessage="0" allowBlank="1" type="list">
      <formula1>"✅ Résolu,🔄 En cours,⏳ À faire,🚫 Abandonné"</formula1>
    </dataValidation>
    <dataValidation sqref="G6" showDropDown="0" showInputMessage="0" showErrorMessage="0" allowBlank="1" type="list">
      <formula1>"🔴 Critique,🟠 Majeure,🟡 Mineure,🟢 Cosmétique"</formula1>
    </dataValidation>
    <dataValidation sqref="F6" showDropDown="0" showInputMessage="0" showErrorMessage="0" allowBlank="1" type="list">
      <formula1>"P1 — Critique,P2 — Haute,P3 — Moyenne,P4 — Basse"</formula1>
    </dataValidation>
    <dataValidation sqref="H6" showDropDown="0" showInputMessage="0" showErrorMessage="0" allowBlank="1" type="list">
      <formula1>"✅ Résolu,🔄 En cours,⏳ À faire,🚫 Abandonné"</formula1>
    </dataValidation>
    <dataValidation sqref="G6" showDropDown="0" showInputMessage="0" showErrorMessage="0" allowBlank="1" type="list">
      <formula1>"🔴 Critique,🟠 Majeure,🟡 Mineure,🟢 Cosmétique"</formula1>
    </dataValidation>
    <dataValidation sqref="F6" showDropDown="0" showInputMessage="0" showErrorMessage="0" allowBlank="1" type="list">
      <formula1>"P1 — Critique,P2 — Haute,P3 — Moyenne,P4 — Basse"</formula1>
    </dataValidation>
    <dataValidation sqref="H6" showDropDown="0" showInputMessage="0" showErrorMessage="0" allowBlank="1" type="list">
      <formula1>"✅ Résolu,🔄 En cours,⏳ À faire,🚫 Abandonné"</formula1>
    </dataValidation>
    <dataValidation sqref="G6" showDropDown="0" showInputMessage="0" showErrorMessage="0" allowBlank="1" type="list">
      <formula1>"🔴 Critique,🟠 Majeure,🟡 Mineure,🟢 Cosmétique"</formula1>
    </dataValidation>
    <dataValidation sqref="F6" showDropDown="0" showInputMessage="0" showErrorMessage="0" allowBlank="1" type="list">
      <formula1>"P1 — Critique,P2 — Haute,P3 — Moyenne,P4 — Basse"</formula1>
    </dataValidation>
    <dataValidation sqref="H6" showDropDown="0" showInputMessage="0" showErrorMessage="0" allowBlank="1" type="list">
      <formula1>"✅ Résolu,🔄 En cours,⏳ À faire,🚫 Abandonné"</formula1>
    </dataValidation>
    <dataValidation sqref="G6" showDropDown="0" showInputMessage="0" showErrorMessage="0" allowBlank="1" type="list">
      <formula1>"🔴 Critique,🟠 Majeure,🟡 Mineure,🟢 Cosmétique"</formula1>
    </dataValidation>
    <dataValidation sqref="F6" showDropDown="0" showInputMessage="0" showErrorMessage="0" allowBlank="1" type="list">
      <formula1>"P1 — Critique,P2 — Haute,P3 — Moyenne,P4 — Basse"</formula1>
    </dataValidation>
    <dataValidation sqref="H6" showDropDown="0" showInputMessage="0" showErrorMessage="0" allowBlank="1" type="list">
      <formula1>"✅ Résolu,🔄 En cours,⏳ À faire,🚫 Abandonné"</formula1>
    </dataValidation>
    <dataValidation sqref="G6" showDropDown="0" showInputMessage="0" showErrorMessage="0" allowBlank="1" type="list">
      <formula1>"🔴 Critique,🟠 Majeure,🟡 Mineure,🟢 Cosmétique"</formula1>
    </dataValidation>
    <dataValidation sqref="F6" showDropDown="0" showInputMessage="0" showErrorMessage="0" allowBlank="1" type="list">
      <formula1>"P1 — Critique,P2 — Haute,P3 — Moyenne,P4 — Basse"</formula1>
    </dataValidation>
    <dataValidation sqref="H6" showDropDown="0" showInputMessage="0" showErrorMessage="0" allowBlank="1" type="list">
      <formula1>"✅ Résolu,🔄 En cours,⏳ À faire,🚫 Abandonné"</formula1>
    </dataValidation>
    <dataValidation sqref="G6" showDropDown="0" showInputMessage="0" showErrorMessage="0" allowBlank="1" type="list">
      <formula1>"🔴 Critique,🟠 Majeure,🟡 Mineure,🟢 Cosmétique"</formula1>
    </dataValidation>
    <dataValidation sqref="F6" showDropDown="0" showInputMessage="0" showErrorMessage="0" allowBlank="1" type="list">
      <formula1>"P1 — Critique,P2 — Haute,P3 — Moyenne,P4 — Basse"</formula1>
    </dataValidation>
    <dataValidation sqref="H6" showDropDown="0" showInputMessage="0" showErrorMessage="0" allowBlank="1" type="list">
      <formula1>"✅ Résolu,🔄 En cours,⏳ À faire,🚫 Abandonné"</formula1>
    </dataValidation>
    <dataValidation sqref="G6" showDropDown="0" showInputMessage="0" showErrorMessage="0" allowBlank="1" type="list">
      <formula1>"🔴 Critique,🟠 Majeure,🟡 Mineure,🟢 Cosmétique"</formula1>
    </dataValidation>
    <dataValidation sqref="F6" showDropDown="0" showInputMessage="0" showErrorMessage="0" allowBlank="1" type="list">
      <formula1>"P1 — Critique,P2 — Haute,P3 — Moyenne,P4 — Basse"</formula1>
    </dataValidation>
    <dataValidation sqref="H6" showDropDown="0" showInputMessage="0" showErrorMessage="0" allowBlank="1" type="list">
      <formula1>"✅ Résolu,🔄 En cours,⏳ À faire,🚫 Abandonné"</formula1>
    </dataValidation>
    <dataValidation sqref="G6" showDropDown="0" showInputMessage="0" showErrorMessage="0" allowBlank="1" type="list">
      <formula1>"🔴 Critique,🟠 Majeure,🟡 Mineure,🟢 Cosmétique"</formula1>
    </dataValidation>
    <dataValidation sqref="F6" showDropDown="0" showInputMessage="0" showErrorMessage="0" allowBlank="1" type="list">
      <formula1>"P1 — Critique,P2 — Haute,P3 — Moyenne,P4 — Basse"</formula1>
    </dataValidation>
    <dataValidation sqref="H6" showDropDown="0" showInputMessage="0" showErrorMessage="0" allowBlank="1" type="list">
      <formula1>"✅ Résolu,🔄 En cours,⏳ À faire,🚫 Abandonné"</formula1>
    </dataValidation>
    <dataValidation sqref="G6" showDropDown="0" showInputMessage="0" showErrorMessage="0" allowBlank="1" type="list">
      <formula1>"🔴 Critique,🟠 Majeure,🟡 Mineure,🟢 Cosmétique"</formula1>
    </dataValidation>
    <dataValidation sqref="F6" showDropDown="0" showInputMessage="0" showErrorMessage="0" allowBlank="1" type="list">
      <formula1>"P1 — Critique,P2 — Haute,P3 — Moyenne,P4 — Basse"</formula1>
    </dataValidation>
    <dataValidation sqref="H7" showDropDown="0" showInputMessage="0" showErrorMessage="0" allowBlank="1" type="list">
      <formula1>"✅ Résolu,🔄 En cours,⏳ À faire,🚫 Abandonné"</formula1>
    </dataValidation>
    <dataValidation sqref="G7" showDropDown="0" showInputMessage="0" showErrorMessage="0" allowBlank="1" type="list">
      <formula1>"🔴 Critique,🟠 Majeure,🟡 Mineure,🟢 Cosmétique"</formula1>
    </dataValidation>
    <dataValidation sqref="F7" showDropDown="0" showInputMessage="0" showErrorMessage="0" allowBlank="1" type="list">
      <formula1>"P1 — Critique,P2 — Haute,P3 — Moyenne,P4 — Basse"</formula1>
    </dataValidation>
    <dataValidation sqref="H7" showDropDown="0" showInputMessage="0" showErrorMessage="0" allowBlank="1" type="list">
      <formula1>"✅ Résolu,🔄 En cours,⏳ À faire,🚫 Abandonné"</formula1>
    </dataValidation>
    <dataValidation sqref="G7" showDropDown="0" showInputMessage="0" showErrorMessage="0" allowBlank="1" type="list">
      <formula1>"🔴 Critique,🟠 Majeure,🟡 Mineure,🟢 Cosmétique"</formula1>
    </dataValidation>
    <dataValidation sqref="F7" showDropDown="0" showInputMessage="0" showErrorMessage="0" allowBlank="1" type="list">
      <formula1>"P1 — Critique,P2 — Haute,P3 — Moyenne,P4 — Basse"</formula1>
    </dataValidation>
    <dataValidation sqref="H7" showDropDown="0" showInputMessage="0" showErrorMessage="0" allowBlank="1" type="list">
      <formula1>"✅ Résolu,🔄 En cours,⏳ À faire,🚫 Abandonné"</formula1>
    </dataValidation>
    <dataValidation sqref="G7" showDropDown="0" showInputMessage="0" showErrorMessage="0" allowBlank="1" type="list">
      <formula1>"🔴 Critique,🟠 Majeure,🟡 Mineure,🟢 Cosmétique"</formula1>
    </dataValidation>
    <dataValidation sqref="F7" showDropDown="0" showInputMessage="0" showErrorMessage="0" allowBlank="1" type="list">
      <formula1>"P1 — Critique,P2 — Haute,P3 — Moyenne,P4 — Basse"</formula1>
    </dataValidation>
    <dataValidation sqref="H7" showDropDown="0" showInputMessage="0" showErrorMessage="0" allowBlank="1" type="list">
      <formula1>"✅ Résolu,🔄 En cours,⏳ À faire,🚫 Abandonné"</formula1>
    </dataValidation>
    <dataValidation sqref="G7" showDropDown="0" showInputMessage="0" showErrorMessage="0" allowBlank="1" type="list">
      <formula1>"🔴 Critique,🟠 Majeure,🟡 Mineure,🟢 Cosmétique"</formula1>
    </dataValidation>
    <dataValidation sqref="F7" showDropDown="0" showInputMessage="0" showErrorMessage="0" allowBlank="1" type="list">
      <formula1>"P1 — Critique,P2 — Haute,P3 — Moyenne,P4 — Basse"</formula1>
    </dataValidation>
    <dataValidation sqref="H7" showDropDown="0" showInputMessage="0" showErrorMessage="0" allowBlank="1" type="list">
      <formula1>"✅ Résolu,🔄 En cours,⏳ À faire,🚫 Abandonné"</formula1>
    </dataValidation>
    <dataValidation sqref="G7" showDropDown="0" showInputMessage="0" showErrorMessage="0" allowBlank="1" type="list">
      <formula1>"🔴 Critique,🟠 Majeure,🟡 Mineure,🟢 Cosmétique"</formula1>
    </dataValidation>
    <dataValidation sqref="F7" showDropDown="0" showInputMessage="0" showErrorMessage="0" allowBlank="1" type="list">
      <formula1>"P1 — Critique,P2 — Haute,P3 — Moyenne,P4 — Basse"</formula1>
    </dataValidation>
    <dataValidation sqref="H7" showDropDown="0" showInputMessage="0" showErrorMessage="0" allowBlank="1" type="list">
      <formula1>"✅ Résolu,🔄 En cours,⏳ À faire,🚫 Abandonné"</formula1>
    </dataValidation>
    <dataValidation sqref="G7" showDropDown="0" showInputMessage="0" showErrorMessage="0" allowBlank="1" type="list">
      <formula1>"🔴 Critique,🟠 Majeure,🟡 Mineure,🟢 Cosmétique"</formula1>
    </dataValidation>
    <dataValidation sqref="F7" showDropDown="0" showInputMessage="0" showErrorMessage="0" allowBlank="1" type="list">
      <formula1>"P1 — Critique,P2 — Haute,P3 — Moyenne,P4 — Basse"</formula1>
    </dataValidation>
    <dataValidation sqref="H7" showDropDown="0" showInputMessage="0" showErrorMessage="0" allowBlank="1" type="list">
      <formula1>"✅ Résolu,🔄 En cours,⏳ À faire,🚫 Abandonné"</formula1>
    </dataValidation>
    <dataValidation sqref="G7" showDropDown="0" showInputMessage="0" showErrorMessage="0" allowBlank="1" type="list">
      <formula1>"🔴 Critique,🟠 Majeure,🟡 Mineure,🟢 Cosmétique"</formula1>
    </dataValidation>
    <dataValidation sqref="F7" showDropDown="0" showInputMessage="0" showErrorMessage="0" allowBlank="1" type="list">
      <formula1>"P1 — Critique,P2 — Haute,P3 — Moyenne,P4 — Basse"</formula1>
    </dataValidation>
    <dataValidation sqref="H7" showDropDown="0" showInputMessage="0" showErrorMessage="0" allowBlank="1" type="list">
      <formula1>"✅ Résolu,🔄 En cours,⏳ À faire,🚫 Abandonné"</formula1>
    </dataValidation>
    <dataValidation sqref="G7" showDropDown="0" showInputMessage="0" showErrorMessage="0" allowBlank="1" type="list">
      <formula1>"🔴 Critique,🟠 Majeure,🟡 Mineure,🟢 Cosmétique"</formula1>
    </dataValidation>
    <dataValidation sqref="F7" showDropDown="0" showInputMessage="0" showErrorMessage="0" allowBlank="1" type="list">
      <formula1>"P1 — Critique,P2 — Haute,P3 — Moyenne,P4 — Basse"</formula1>
    </dataValidation>
    <dataValidation sqref="H7" showDropDown="0" showInputMessage="0" showErrorMessage="0" allowBlank="1" type="list">
      <formula1>"✅ Résolu,🔄 En cours,⏳ À faire,🚫 Abandonné"</formula1>
    </dataValidation>
    <dataValidation sqref="G7" showDropDown="0" showInputMessage="0" showErrorMessage="0" allowBlank="1" type="list">
      <formula1>"🔴 Critique,🟠 Majeure,🟡 Mineure,🟢 Cosmétique"</formula1>
    </dataValidation>
    <dataValidation sqref="F7" showDropDown="0" showInputMessage="0" showErrorMessage="0" allowBlank="1" type="list">
      <formula1>"P1 — Critique,P2 — Haute,P3 — Moyenne,P4 — Basse"</formula1>
    </dataValidation>
    <dataValidation sqref="H7" showDropDown="0" showInputMessage="0" showErrorMessage="0" allowBlank="1" type="list">
      <formula1>"✅ Résolu,🔄 En cours,⏳ À faire,🚫 Abandonné"</formula1>
    </dataValidation>
    <dataValidation sqref="G7" showDropDown="0" showInputMessage="0" showErrorMessage="0" allowBlank="1" type="list">
      <formula1>"🔴 Critique,🟠 Majeure,🟡 Mineure,🟢 Cosmétique"</formula1>
    </dataValidation>
    <dataValidation sqref="F7" showDropDown="0" showInputMessage="0" showErrorMessage="0" allowBlank="1" type="list">
      <formula1>"P1 — Critique,P2 — Haute,P3 — Moyenne,P4 — Basse"</formula1>
    </dataValidation>
    <dataValidation sqref="H7" showDropDown="0" showInputMessage="0" showErrorMessage="0" allowBlank="1" type="list">
      <formula1>"✅ Résolu,🔄 En cours,⏳ À faire,🚫 Abandonné"</formula1>
    </dataValidation>
    <dataValidation sqref="G7" showDropDown="0" showInputMessage="0" showErrorMessage="0" allowBlank="1" type="list">
      <formula1>"🔴 Critique,🟠 Majeure,🟡 Mineure,🟢 Cosmétique"</formula1>
    </dataValidation>
    <dataValidation sqref="F7" showDropDown="0" showInputMessage="0" showErrorMessage="0" allowBlank="1" type="list">
      <formula1>"P1 — Critique,P2 — Haute,P3 — Moyenne,P4 — Basse"</formula1>
    </dataValidation>
    <dataValidation sqref="H7" showDropDown="0" showInputMessage="0" showErrorMessage="0" allowBlank="1" type="list">
      <formula1>"✅ Résolu,🔄 En cours,⏳ À faire,🚫 Abandonné"</formula1>
    </dataValidation>
    <dataValidation sqref="G7" showDropDown="0" showInputMessage="0" showErrorMessage="0" allowBlank="1" type="list">
      <formula1>"🔴 Critique,🟠 Majeure,🟡 Mineure,🟢 Cosmétique"</formula1>
    </dataValidation>
    <dataValidation sqref="F7" showDropDown="0" showInputMessage="0" showErrorMessage="0" allowBlank="1" type="list">
      <formula1>"P1 — Critique,P2 — Haute,P3 — Moyenne,P4 — Basse"</formula1>
    </dataValidation>
    <dataValidation sqref="H8" showDropDown="0" showInputMessage="0" showErrorMessage="0" allowBlank="1" type="list">
      <formula1>"✅ Résolu,🔄 En cours,⏳ À faire,🚫 Abandonné"</formula1>
    </dataValidation>
    <dataValidation sqref="G8" showDropDown="0" showInputMessage="0" showErrorMessage="0" allowBlank="1" type="list">
      <formula1>"🔴 Critique,🟠 Majeure,🟡 Mineure,🟢 Cosmétique"</formula1>
    </dataValidation>
    <dataValidation sqref="F8" showDropDown="0" showInputMessage="0" showErrorMessage="0" allowBlank="1" type="list">
      <formula1>"P1 — Critique,P2 — Haute,P3 — Moyenne,P4 — Basse"</formula1>
    </dataValidation>
    <dataValidation sqref="H8" showDropDown="0" showInputMessage="0" showErrorMessage="0" allowBlank="1" type="list">
      <formula1>"✅ Résolu,🔄 En cours,⏳ À faire,🚫 Abandonné"</formula1>
    </dataValidation>
    <dataValidation sqref="G8" showDropDown="0" showInputMessage="0" showErrorMessage="0" allowBlank="1" type="list">
      <formula1>"🔴 Critique,🟠 Majeure,🟡 Mineure,🟢 Cosmétique"</formula1>
    </dataValidation>
    <dataValidation sqref="F8" showDropDown="0" showInputMessage="0" showErrorMessage="0" allowBlank="1" type="list">
      <formula1>"P1 — Critique,P2 — Haute,P3 — Moyenne,P4 — Basse"</formula1>
    </dataValidation>
    <dataValidation sqref="H8" showDropDown="0" showInputMessage="0" showErrorMessage="0" allowBlank="1" type="list">
      <formula1>"✅ Résolu,🔄 En cours,⏳ À faire,🚫 Abandonné"</formula1>
    </dataValidation>
    <dataValidation sqref="G8" showDropDown="0" showInputMessage="0" showErrorMessage="0" allowBlank="1" type="list">
      <formula1>"🔴 Critique,🟠 Majeure,🟡 Mineure,🟢 Cosmétique"</formula1>
    </dataValidation>
    <dataValidation sqref="F8" showDropDown="0" showInputMessage="0" showErrorMessage="0" allowBlank="1" type="list">
      <formula1>"P1 — Critique,P2 — Haute,P3 — Moyenne,P4 — Basse"</formula1>
    </dataValidation>
    <dataValidation sqref="H8" showDropDown="0" showInputMessage="0" showErrorMessage="0" allowBlank="1" type="list">
      <formula1>"✅ Résolu,🔄 En cours,⏳ À faire,🚫 Abandonné"</formula1>
    </dataValidation>
    <dataValidation sqref="G8" showDropDown="0" showInputMessage="0" showErrorMessage="0" allowBlank="1" type="list">
      <formula1>"🔴 Critique,🟠 Majeure,🟡 Mineure,🟢 Cosmétique"</formula1>
    </dataValidation>
    <dataValidation sqref="F8" showDropDown="0" showInputMessage="0" showErrorMessage="0" allowBlank="1" type="list">
      <formula1>"P1 — Critique,P2 — Haute,P3 — Moyenne,P4 — Basse"</formula1>
    </dataValidation>
    <dataValidation sqref="H8" showDropDown="0" showInputMessage="0" showErrorMessage="0" allowBlank="1" type="list">
      <formula1>"✅ Résolu,🔄 En cours,⏳ À faire,🚫 Abandonné"</formula1>
    </dataValidation>
    <dataValidation sqref="G8" showDropDown="0" showInputMessage="0" showErrorMessage="0" allowBlank="1" type="list">
      <formula1>"🔴 Critique,🟠 Majeure,🟡 Mineure,🟢 Cosmétique"</formula1>
    </dataValidation>
    <dataValidation sqref="F8" showDropDown="0" showInputMessage="0" showErrorMessage="0" allowBlank="1" type="list">
      <formula1>"P1 — Critique,P2 — Haute,P3 — Moyenne,P4 — Basse"</formula1>
    </dataValidation>
    <dataValidation sqref="H8" showDropDown="0" showInputMessage="0" showErrorMessage="0" allowBlank="1" type="list">
      <formula1>"✅ Résolu,🔄 En cours,⏳ À faire,🚫 Abandonné"</formula1>
    </dataValidation>
    <dataValidation sqref="G8" showDropDown="0" showInputMessage="0" showErrorMessage="0" allowBlank="1" type="list">
      <formula1>"🔴 Critique,🟠 Majeure,🟡 Mineure,🟢 Cosmétique"</formula1>
    </dataValidation>
    <dataValidation sqref="F8" showDropDown="0" showInputMessage="0" showErrorMessage="0" allowBlank="1" type="list">
      <formula1>"P1 — Critique,P2 — Haute,P3 — Moyenne,P4 — Basse"</formula1>
    </dataValidation>
    <dataValidation sqref="H8" showDropDown="0" showInputMessage="0" showErrorMessage="0" allowBlank="1" type="list">
      <formula1>"✅ Résolu,🔄 En cours,⏳ À faire,🚫 Abandonné"</formula1>
    </dataValidation>
    <dataValidation sqref="G8" showDropDown="0" showInputMessage="0" showErrorMessage="0" allowBlank="1" type="list">
      <formula1>"🔴 Critique,🟠 Majeure,🟡 Mineure,🟢 Cosmétique"</formula1>
    </dataValidation>
    <dataValidation sqref="F8" showDropDown="0" showInputMessage="0" showErrorMessage="0" allowBlank="1" type="list">
      <formula1>"P1 — Critique,P2 — Haute,P3 — Moyenne,P4 — Basse"</formula1>
    </dataValidation>
    <dataValidation sqref="H8" showDropDown="0" showInputMessage="0" showErrorMessage="0" allowBlank="1" type="list">
      <formula1>"✅ Résolu,🔄 En cours,⏳ À faire,🚫 Abandonné"</formula1>
    </dataValidation>
    <dataValidation sqref="G8" showDropDown="0" showInputMessage="0" showErrorMessage="0" allowBlank="1" type="list">
      <formula1>"🔴 Critique,🟠 Majeure,🟡 Mineure,🟢 Cosmétique"</formula1>
    </dataValidation>
    <dataValidation sqref="F8" showDropDown="0" showInputMessage="0" showErrorMessage="0" allowBlank="1" type="list">
      <formula1>"P1 — Critique,P2 — Haute,P3 — Moyenne,P4 — Basse"</formula1>
    </dataValidation>
    <dataValidation sqref="H8" showDropDown="0" showInputMessage="0" showErrorMessage="0" allowBlank="1" type="list">
      <formula1>"✅ Résolu,🔄 En cours,⏳ À faire,🚫 Abandonné"</formula1>
    </dataValidation>
    <dataValidation sqref="G8" showDropDown="0" showInputMessage="0" showErrorMessage="0" allowBlank="1" type="list">
      <formula1>"🔴 Critique,🟠 Majeure,🟡 Mineure,🟢 Cosmétique"</formula1>
    </dataValidation>
    <dataValidation sqref="F8" showDropDown="0" showInputMessage="0" showErrorMessage="0" allowBlank="1" type="list">
      <formula1>"P1 — Critique,P2 — Haute,P3 — Moyenne,P4 — Basse"</formula1>
    </dataValidation>
    <dataValidation sqref="H8" showDropDown="0" showInputMessage="0" showErrorMessage="0" allowBlank="1" type="list">
      <formula1>"✅ Résolu,🔄 En cours,⏳ À faire,🚫 Abandonné"</formula1>
    </dataValidation>
    <dataValidation sqref="G8" showDropDown="0" showInputMessage="0" showErrorMessage="0" allowBlank="1" type="list">
      <formula1>"🔴 Critique,🟠 Majeure,🟡 Mineure,🟢 Cosmétique"</formula1>
    </dataValidation>
    <dataValidation sqref="F8" showDropDown="0" showInputMessage="0" showErrorMessage="0" allowBlank="1" type="list">
      <formula1>"P1 — Critique,P2 — Haute,P3 — Moyenne,P4 — Basse"</formula1>
    </dataValidation>
    <dataValidation sqref="H8" showDropDown="0" showInputMessage="0" showErrorMessage="0" allowBlank="1" type="list">
      <formula1>"✅ Résolu,🔄 En cours,⏳ À faire,🚫 Abandonné"</formula1>
    </dataValidation>
    <dataValidation sqref="G8" showDropDown="0" showInputMessage="0" showErrorMessage="0" allowBlank="1" type="list">
      <formula1>"🔴 Critique,🟠 Majeure,🟡 Mineure,🟢 Cosmétique"</formula1>
    </dataValidation>
    <dataValidation sqref="F8" showDropDown="0" showInputMessage="0" showErrorMessage="0" allowBlank="1" type="list">
      <formula1>"P1 — Critique,P2 — Haute,P3 — Moyenne,P4 — Basse"</formula1>
    </dataValidation>
    <dataValidation sqref="H8" showDropDown="0" showInputMessage="0" showErrorMessage="0" allowBlank="1" type="list">
      <formula1>"✅ Résolu,🔄 En cours,⏳ À faire,🚫 Abandonné"</formula1>
    </dataValidation>
    <dataValidation sqref="G8" showDropDown="0" showInputMessage="0" showErrorMessage="0" allowBlank="1" type="list">
      <formula1>"🔴 Critique,🟠 Majeure,🟡 Mineure,🟢 Cosmétique"</formula1>
    </dataValidation>
    <dataValidation sqref="F8" showDropDown="0" showInputMessage="0" showErrorMessage="0" allowBlank="1" type="list">
      <formula1>"P1 — Critique,P2 — Haute,P3 — Moyenne,P4 — Basse"</formula1>
    </dataValidation>
    <dataValidation sqref="H9" showDropDown="0" showInputMessage="0" showErrorMessage="0" allowBlank="1" type="list">
      <formula1>"✅ Résolu,🔄 En cours,⏳ À faire,🚫 Abandonné"</formula1>
    </dataValidation>
    <dataValidation sqref="G9" showDropDown="0" showInputMessage="0" showErrorMessage="0" allowBlank="1" type="list">
      <formula1>"🔴 Critique,🟠 Majeure,🟡 Mineure,🟢 Cosmétique"</formula1>
    </dataValidation>
    <dataValidation sqref="F9" showDropDown="0" showInputMessage="0" showErrorMessage="0" allowBlank="1" type="list">
      <formula1>"P1 — Critique,P2 — Haute,P3 — Moyenne,P4 — Basse"</formula1>
    </dataValidation>
    <dataValidation sqref="H9" showDropDown="0" showInputMessage="0" showErrorMessage="0" allowBlank="1" type="list">
      <formula1>"✅ Résolu,🔄 En cours,⏳ À faire,🚫 Abandonné"</formula1>
    </dataValidation>
    <dataValidation sqref="G9" showDropDown="0" showInputMessage="0" showErrorMessage="0" allowBlank="1" type="list">
      <formula1>"🔴 Critique,🟠 Majeure,🟡 Mineure,🟢 Cosmétique"</formula1>
    </dataValidation>
    <dataValidation sqref="F9" showDropDown="0" showInputMessage="0" showErrorMessage="0" allowBlank="1" type="list">
      <formula1>"P1 — Critique,P2 — Haute,P3 — Moyenne,P4 — Basse"</formula1>
    </dataValidation>
    <dataValidation sqref="H9" showDropDown="0" showInputMessage="0" showErrorMessage="0" allowBlank="1" type="list">
      <formula1>"✅ Résolu,🔄 En cours,⏳ À faire,🚫 Abandonné"</formula1>
    </dataValidation>
    <dataValidation sqref="G9" showDropDown="0" showInputMessage="0" showErrorMessage="0" allowBlank="1" type="list">
      <formula1>"🔴 Critique,🟠 Majeure,🟡 Mineure,🟢 Cosmétique"</formula1>
    </dataValidation>
    <dataValidation sqref="F9" showDropDown="0" showInputMessage="0" showErrorMessage="0" allowBlank="1" type="list">
      <formula1>"P1 — Critique,P2 — Haute,P3 — Moyenne,P4 — Basse"</formula1>
    </dataValidation>
    <dataValidation sqref="H9" showDropDown="0" showInputMessage="0" showErrorMessage="0" allowBlank="1" type="list">
      <formula1>"✅ Résolu,🔄 En cours,⏳ À faire,🚫 Abandonné"</formula1>
    </dataValidation>
    <dataValidation sqref="G9" showDropDown="0" showInputMessage="0" showErrorMessage="0" allowBlank="1" type="list">
      <formula1>"🔴 Critique,🟠 Majeure,🟡 Mineure,🟢 Cosmétique"</formula1>
    </dataValidation>
    <dataValidation sqref="F9" showDropDown="0" showInputMessage="0" showErrorMessage="0" allowBlank="1" type="list">
      <formula1>"P1 — Critique,P2 — Haute,P3 — Moyenne,P4 — Basse"</formula1>
    </dataValidation>
    <dataValidation sqref="H9" showDropDown="0" showInputMessage="0" showErrorMessage="0" allowBlank="1" type="list">
      <formula1>"✅ Résolu,🔄 En cours,⏳ À faire,🚫 Abandonné"</formula1>
    </dataValidation>
    <dataValidation sqref="G9" showDropDown="0" showInputMessage="0" showErrorMessage="0" allowBlank="1" type="list">
      <formula1>"🔴 Critique,🟠 Majeure,🟡 Mineure,🟢 Cosmétique"</formula1>
    </dataValidation>
    <dataValidation sqref="F9" showDropDown="0" showInputMessage="0" showErrorMessage="0" allowBlank="1" type="list">
      <formula1>"P1 — Critique,P2 — Haute,P3 — Moyenne,P4 — Basse"</formula1>
    </dataValidation>
    <dataValidation sqref="H9" showDropDown="0" showInputMessage="0" showErrorMessage="0" allowBlank="1" type="list">
      <formula1>"✅ Résolu,🔄 En cours,⏳ À faire,🚫 Abandonné"</formula1>
    </dataValidation>
    <dataValidation sqref="G9" showDropDown="0" showInputMessage="0" showErrorMessage="0" allowBlank="1" type="list">
      <formula1>"🔴 Critique,🟠 Majeure,🟡 Mineure,🟢 Cosmétique"</formula1>
    </dataValidation>
    <dataValidation sqref="F9" showDropDown="0" showInputMessage="0" showErrorMessage="0" allowBlank="1" type="list">
      <formula1>"P1 — Critique,P2 — Haute,P3 — Moyenne,P4 — Basse"</formula1>
    </dataValidation>
    <dataValidation sqref="H9" showDropDown="0" showInputMessage="0" showErrorMessage="0" allowBlank="1" type="list">
      <formula1>"✅ Résolu,🔄 En cours,⏳ À faire,🚫 Abandonné"</formula1>
    </dataValidation>
    <dataValidation sqref="G9" showDropDown="0" showInputMessage="0" showErrorMessage="0" allowBlank="1" type="list">
      <formula1>"🔴 Critique,🟠 Majeure,🟡 Mineure,🟢 Cosmétique"</formula1>
    </dataValidation>
    <dataValidation sqref="F9" showDropDown="0" showInputMessage="0" showErrorMessage="0" allowBlank="1" type="list">
      <formula1>"P1 — Critique,P2 — Haute,P3 — Moyenne,P4 — Basse"</formula1>
    </dataValidation>
    <dataValidation sqref="H9" showDropDown="0" showInputMessage="0" showErrorMessage="0" allowBlank="1" type="list">
      <formula1>"✅ Résolu,🔄 En cours,⏳ À faire,🚫 Abandonné"</formula1>
    </dataValidation>
    <dataValidation sqref="G9" showDropDown="0" showInputMessage="0" showErrorMessage="0" allowBlank="1" type="list">
      <formula1>"🔴 Critique,🟠 Majeure,🟡 Mineure,🟢 Cosmétique"</formula1>
    </dataValidation>
    <dataValidation sqref="F9" showDropDown="0" showInputMessage="0" showErrorMessage="0" allowBlank="1" type="list">
      <formula1>"P1 — Critique,P2 — Haute,P3 — Moyenne,P4 — Basse"</formula1>
    </dataValidation>
    <dataValidation sqref="H9" showDropDown="0" showInputMessage="0" showErrorMessage="0" allowBlank="1" type="list">
      <formula1>"✅ Résolu,🔄 En cours,⏳ À faire,🚫 Abandonné"</formula1>
    </dataValidation>
    <dataValidation sqref="G9" showDropDown="0" showInputMessage="0" showErrorMessage="0" allowBlank="1" type="list">
      <formula1>"🔴 Critique,🟠 Majeure,🟡 Mineure,🟢 Cosmétique"</formula1>
    </dataValidation>
    <dataValidation sqref="F9" showDropDown="0" showInputMessage="0" showErrorMessage="0" allowBlank="1" type="list">
      <formula1>"P1 — Critique,P2 — Haute,P3 — Moyenne,P4 — Basse"</formula1>
    </dataValidation>
    <dataValidation sqref="H9" showDropDown="0" showInputMessage="0" showErrorMessage="0" allowBlank="1" type="list">
      <formula1>"✅ Résolu,🔄 En cours,⏳ À faire,🚫 Abandonné"</formula1>
    </dataValidation>
    <dataValidation sqref="G9" showDropDown="0" showInputMessage="0" showErrorMessage="0" allowBlank="1" type="list">
      <formula1>"🔴 Critique,🟠 Majeure,🟡 Mineure,🟢 Cosmétique"</formula1>
    </dataValidation>
    <dataValidation sqref="F9" showDropDown="0" showInputMessage="0" showErrorMessage="0" allowBlank="1" type="list">
      <formula1>"P1 — Critique,P2 — Haute,P3 — Moyenne,P4 — Basse"</formula1>
    </dataValidation>
    <dataValidation sqref="H9" showDropDown="0" showInputMessage="0" showErrorMessage="0" allowBlank="1" type="list">
      <formula1>"✅ Résolu,🔄 En cours,⏳ À faire,🚫 Abandonné"</formula1>
    </dataValidation>
    <dataValidation sqref="G9" showDropDown="0" showInputMessage="0" showErrorMessage="0" allowBlank="1" type="list">
      <formula1>"🔴 Critique,🟠 Majeure,🟡 Mineure,🟢 Cosmétique"</formula1>
    </dataValidation>
    <dataValidation sqref="F9" showDropDown="0" showInputMessage="0" showErrorMessage="0" allowBlank="1" type="list">
      <formula1>"P1 — Critique,P2 — Haute,P3 — Moyenne,P4 — Basse"</formula1>
    </dataValidation>
    <dataValidation sqref="H9" showDropDown="0" showInputMessage="0" showErrorMessage="0" allowBlank="1" type="list">
      <formula1>"✅ Résolu,🔄 En cours,⏳ À faire,🚫 Abandonné"</formula1>
    </dataValidation>
    <dataValidation sqref="G9" showDropDown="0" showInputMessage="0" showErrorMessage="0" allowBlank="1" type="list">
      <formula1>"🔴 Critique,🟠 Majeure,🟡 Mineure,🟢 Cosmétique"</formula1>
    </dataValidation>
    <dataValidation sqref="F9" showDropDown="0" showInputMessage="0" showErrorMessage="0" allowBlank="1" type="list">
      <formula1>"P1 — Critique,P2 — Haute,P3 — Moyenne,P4 — Basse"</formula1>
    </dataValidation>
    <dataValidation sqref="H10" showDropDown="0" showInputMessage="0" showErrorMessage="0" allowBlank="1" type="list">
      <formula1>"✅ Résolu,🔄 En cours,⏳ À faire,🚫 Abandonné"</formula1>
    </dataValidation>
    <dataValidation sqref="G10" showDropDown="0" showInputMessage="0" showErrorMessage="0" allowBlank="1" type="list">
      <formula1>"🔴 Critique,🟠 Majeure,🟡 Mineure,🟢 Cosmétique"</formula1>
    </dataValidation>
    <dataValidation sqref="F10" showDropDown="0" showInputMessage="0" showErrorMessage="0" allowBlank="1" type="list">
      <formula1>"P1 — Critique,P2 — Haute,P3 — Moyenne,P4 — Basse"</formula1>
    </dataValidation>
    <dataValidation sqref="H10" showDropDown="0" showInputMessage="0" showErrorMessage="0" allowBlank="1" type="list">
      <formula1>"✅ Résolu,🔄 En cours,⏳ À faire,🚫 Abandonné"</formula1>
    </dataValidation>
    <dataValidation sqref="G10" showDropDown="0" showInputMessage="0" showErrorMessage="0" allowBlank="1" type="list">
      <formula1>"🔴 Critique,🟠 Majeure,🟡 Mineure,🟢 Cosmétique"</formula1>
    </dataValidation>
    <dataValidation sqref="F10" showDropDown="0" showInputMessage="0" showErrorMessage="0" allowBlank="1" type="list">
      <formula1>"P1 — Critique,P2 — Haute,P3 — Moyenne,P4 — Basse"</formula1>
    </dataValidation>
    <dataValidation sqref="H10" showDropDown="0" showInputMessage="0" showErrorMessage="0" allowBlank="1" type="list">
      <formula1>"✅ Résolu,🔄 En cours,⏳ À faire,🚫 Abandonné"</formula1>
    </dataValidation>
    <dataValidation sqref="G10" showDropDown="0" showInputMessage="0" showErrorMessage="0" allowBlank="1" type="list">
      <formula1>"🔴 Critique,🟠 Majeure,🟡 Mineure,🟢 Cosmétique"</formula1>
    </dataValidation>
    <dataValidation sqref="F10" showDropDown="0" showInputMessage="0" showErrorMessage="0" allowBlank="1" type="list">
      <formula1>"P1 — Critique,P2 — Haute,P3 — Moyenne,P4 — Basse"</formula1>
    </dataValidation>
    <dataValidation sqref="H10" showDropDown="0" showInputMessage="0" showErrorMessage="0" allowBlank="1" type="list">
      <formula1>"✅ Résolu,🔄 En cours,⏳ À faire,🚫 Abandonné"</formula1>
    </dataValidation>
    <dataValidation sqref="G10" showDropDown="0" showInputMessage="0" showErrorMessage="0" allowBlank="1" type="list">
      <formula1>"🔴 Critique,🟠 Majeure,🟡 Mineure,🟢 Cosmétique"</formula1>
    </dataValidation>
    <dataValidation sqref="F10" showDropDown="0" showInputMessage="0" showErrorMessage="0" allowBlank="1" type="list">
      <formula1>"P1 — Critique,P2 — Haute,P3 — Moyenne,P4 — Basse"</formula1>
    </dataValidation>
    <dataValidation sqref="H10" showDropDown="0" showInputMessage="0" showErrorMessage="0" allowBlank="1" type="list">
      <formula1>"✅ Résolu,🔄 En cours,⏳ À faire,🚫 Abandonné"</formula1>
    </dataValidation>
    <dataValidation sqref="G10" showDropDown="0" showInputMessage="0" showErrorMessage="0" allowBlank="1" type="list">
      <formula1>"🔴 Critique,🟠 Majeure,🟡 Mineure,🟢 Cosmétique"</formula1>
    </dataValidation>
    <dataValidation sqref="F10" showDropDown="0" showInputMessage="0" showErrorMessage="0" allowBlank="1" type="list">
      <formula1>"P1 — Critique,P2 — Haute,P3 — Moyenne,P4 — Basse"</formula1>
    </dataValidation>
    <dataValidation sqref="H10" showDropDown="0" showInputMessage="0" showErrorMessage="0" allowBlank="1" type="list">
      <formula1>"✅ Résolu,🔄 En cours,⏳ À faire,🚫 Abandonné"</formula1>
    </dataValidation>
    <dataValidation sqref="G10" showDropDown="0" showInputMessage="0" showErrorMessage="0" allowBlank="1" type="list">
      <formula1>"🔴 Critique,🟠 Majeure,🟡 Mineure,🟢 Cosmétique"</formula1>
    </dataValidation>
    <dataValidation sqref="F10" showDropDown="0" showInputMessage="0" showErrorMessage="0" allowBlank="1" type="list">
      <formula1>"P1 — Critique,P2 — Haute,P3 — Moyenne,P4 — Basse"</formula1>
    </dataValidation>
    <dataValidation sqref="H10" showDropDown="0" showInputMessage="0" showErrorMessage="0" allowBlank="1" type="list">
      <formula1>"✅ Résolu,🔄 En cours,⏳ À faire,🚫 Abandonné"</formula1>
    </dataValidation>
    <dataValidation sqref="G10" showDropDown="0" showInputMessage="0" showErrorMessage="0" allowBlank="1" type="list">
      <formula1>"🔴 Critique,🟠 Majeure,🟡 Mineure,🟢 Cosmétique"</formula1>
    </dataValidation>
    <dataValidation sqref="F10" showDropDown="0" showInputMessage="0" showErrorMessage="0" allowBlank="1" type="list">
      <formula1>"P1 — Critique,P2 — Haute,P3 — Moyenne,P4 — Basse"</formula1>
    </dataValidation>
    <dataValidation sqref="H10" showDropDown="0" showInputMessage="0" showErrorMessage="0" allowBlank="1" type="list">
      <formula1>"✅ Résolu,🔄 En cours,⏳ À faire,🚫 Abandonné"</formula1>
    </dataValidation>
    <dataValidation sqref="G10" showDropDown="0" showInputMessage="0" showErrorMessage="0" allowBlank="1" type="list">
      <formula1>"🔴 Critique,🟠 Majeure,🟡 Mineure,🟢 Cosmétique"</formula1>
    </dataValidation>
    <dataValidation sqref="F10" showDropDown="0" showInputMessage="0" showErrorMessage="0" allowBlank="1" type="list">
      <formula1>"P1 — Critique,P2 — Haute,P3 — Moyenne,P4 — Basse"</formula1>
    </dataValidation>
    <dataValidation sqref="H10" showDropDown="0" showInputMessage="0" showErrorMessage="0" allowBlank="1" type="list">
      <formula1>"✅ Résolu,🔄 En cours,⏳ À faire,🚫 Abandonné"</formula1>
    </dataValidation>
    <dataValidation sqref="G10" showDropDown="0" showInputMessage="0" showErrorMessage="0" allowBlank="1" type="list">
      <formula1>"🔴 Critique,🟠 Majeure,🟡 Mineure,🟢 Cosmétique"</formula1>
    </dataValidation>
    <dataValidation sqref="F10" showDropDown="0" showInputMessage="0" showErrorMessage="0" allowBlank="1" type="list">
      <formula1>"P1 — Critique,P2 — Haute,P3 — Moyenne,P4 — Basse"</formula1>
    </dataValidation>
    <dataValidation sqref="H10" showDropDown="0" showInputMessage="0" showErrorMessage="0" allowBlank="1" type="list">
      <formula1>"✅ Résolu,🔄 En cours,⏳ À faire,🚫 Abandonné"</formula1>
    </dataValidation>
    <dataValidation sqref="G10" showDropDown="0" showInputMessage="0" showErrorMessage="0" allowBlank="1" type="list">
      <formula1>"🔴 Critique,🟠 Majeure,🟡 Mineure,🟢 Cosmétique"</formula1>
    </dataValidation>
    <dataValidation sqref="F10" showDropDown="0" showInputMessage="0" showErrorMessage="0" allowBlank="1" type="list">
      <formula1>"P1 — Critique,P2 — Haute,P3 — Moyenne,P4 — Basse"</formula1>
    </dataValidation>
    <dataValidation sqref="H10" showDropDown="0" showInputMessage="0" showErrorMessage="0" allowBlank="1" type="list">
      <formula1>"✅ Résolu,🔄 En cours,⏳ À faire,🚫 Abandonné"</formula1>
    </dataValidation>
    <dataValidation sqref="G10" showDropDown="0" showInputMessage="0" showErrorMessage="0" allowBlank="1" type="list">
      <formula1>"🔴 Critique,🟠 Majeure,🟡 Mineure,🟢 Cosmétique"</formula1>
    </dataValidation>
    <dataValidation sqref="F10" showDropDown="0" showInputMessage="0" showErrorMessage="0" allowBlank="1" type="list">
      <formula1>"P1 — Critique,P2 — Haute,P3 — Moyenne,P4 — Basse"</formula1>
    </dataValidation>
    <dataValidation sqref="H10" showDropDown="0" showInputMessage="0" showErrorMessage="0" allowBlank="1" type="list">
      <formula1>"✅ Résolu,🔄 En cours,⏳ À faire,🚫 Abandonné"</formula1>
    </dataValidation>
    <dataValidation sqref="G10" showDropDown="0" showInputMessage="0" showErrorMessage="0" allowBlank="1" type="list">
      <formula1>"🔴 Critique,🟠 Majeure,🟡 Mineure,🟢 Cosmétique"</formula1>
    </dataValidation>
    <dataValidation sqref="F10" showDropDown="0" showInputMessage="0" showErrorMessage="0" allowBlank="1" type="list">
      <formula1>"P1 — Critique,P2 — Haute,P3 — Moyenne,P4 — Basse"</formula1>
    </dataValidation>
    <dataValidation sqref="H11" showDropDown="0" showInputMessage="0" showErrorMessage="0" allowBlank="1" type="list">
      <formula1>"✅ Résolu,🔄 En cours,⏳ À faire,🚫 Abandonné"</formula1>
    </dataValidation>
    <dataValidation sqref="G11" showDropDown="0" showInputMessage="0" showErrorMessage="0" allowBlank="1" type="list">
      <formula1>"🔴 Critique,🟠 Majeure,🟡 Mineure,🟢 Cosmétique"</formula1>
    </dataValidation>
    <dataValidation sqref="F11" showDropDown="0" showInputMessage="0" showErrorMessage="0" allowBlank="1" type="list">
      <formula1>"P1 — Critique,P2 — Haute,P3 — Moyenne,P4 — Basse"</formula1>
    </dataValidation>
    <dataValidation sqref="H11" showDropDown="0" showInputMessage="0" showErrorMessage="0" allowBlank="1" type="list">
      <formula1>"✅ Résolu,🔄 En cours,⏳ À faire,🚫 Abandonné"</formula1>
    </dataValidation>
    <dataValidation sqref="G11" showDropDown="0" showInputMessage="0" showErrorMessage="0" allowBlank="1" type="list">
      <formula1>"🔴 Critique,🟠 Majeure,🟡 Mineure,🟢 Cosmétique"</formula1>
    </dataValidation>
    <dataValidation sqref="F11" showDropDown="0" showInputMessage="0" showErrorMessage="0" allowBlank="1" type="list">
      <formula1>"P1 — Critique,P2 — Haute,P3 — Moyenne,P4 — Basse"</formula1>
    </dataValidation>
    <dataValidation sqref="H11" showDropDown="0" showInputMessage="0" showErrorMessage="0" allowBlank="1" type="list">
      <formula1>"✅ Résolu,🔄 En cours,⏳ À faire,🚫 Abandonné"</formula1>
    </dataValidation>
    <dataValidation sqref="G11" showDropDown="0" showInputMessage="0" showErrorMessage="0" allowBlank="1" type="list">
      <formula1>"🔴 Critique,🟠 Majeure,🟡 Mineure,🟢 Cosmétique"</formula1>
    </dataValidation>
    <dataValidation sqref="F11" showDropDown="0" showInputMessage="0" showErrorMessage="0" allowBlank="1" type="list">
      <formula1>"P1 — Critique,P2 — Haute,P3 — Moyenne,P4 — Basse"</formula1>
    </dataValidation>
    <dataValidation sqref="H11" showDropDown="0" showInputMessage="0" showErrorMessage="0" allowBlank="1" type="list">
      <formula1>"✅ Résolu,🔄 En cours,⏳ À faire,🚫 Abandonné"</formula1>
    </dataValidation>
    <dataValidation sqref="G11" showDropDown="0" showInputMessage="0" showErrorMessage="0" allowBlank="1" type="list">
      <formula1>"🔴 Critique,🟠 Majeure,🟡 Mineure,🟢 Cosmétique"</formula1>
    </dataValidation>
    <dataValidation sqref="F11" showDropDown="0" showInputMessage="0" showErrorMessage="0" allowBlank="1" type="list">
      <formula1>"P1 — Critique,P2 — Haute,P3 — Moyenne,P4 — Basse"</formula1>
    </dataValidation>
    <dataValidation sqref="H11" showDropDown="0" showInputMessage="0" showErrorMessage="0" allowBlank="1" type="list">
      <formula1>"✅ Résolu,🔄 En cours,⏳ À faire,🚫 Abandonné"</formula1>
    </dataValidation>
    <dataValidation sqref="G11" showDropDown="0" showInputMessage="0" showErrorMessage="0" allowBlank="1" type="list">
      <formula1>"🔴 Critique,🟠 Majeure,🟡 Mineure,🟢 Cosmétique"</formula1>
    </dataValidation>
    <dataValidation sqref="F11" showDropDown="0" showInputMessage="0" showErrorMessage="0" allowBlank="1" type="list">
      <formula1>"P1 — Critique,P2 — Haute,P3 — Moyenne,P4 — Basse"</formula1>
    </dataValidation>
    <dataValidation sqref="H11" showDropDown="0" showInputMessage="0" showErrorMessage="0" allowBlank="1" type="list">
      <formula1>"✅ Résolu,🔄 En cours,⏳ À faire,🚫 Abandonné"</formula1>
    </dataValidation>
    <dataValidation sqref="G11" showDropDown="0" showInputMessage="0" showErrorMessage="0" allowBlank="1" type="list">
      <formula1>"🔴 Critique,🟠 Majeure,🟡 Mineure,🟢 Cosmétique"</formula1>
    </dataValidation>
    <dataValidation sqref="F11" showDropDown="0" showInputMessage="0" showErrorMessage="0" allowBlank="1" type="list">
      <formula1>"P1 — Critique,P2 — Haute,P3 — Moyenne,P4 — Basse"</formula1>
    </dataValidation>
    <dataValidation sqref="H11" showDropDown="0" showInputMessage="0" showErrorMessage="0" allowBlank="1" type="list">
      <formula1>"✅ Résolu,🔄 En cours,⏳ À faire,🚫 Abandonné"</formula1>
    </dataValidation>
    <dataValidation sqref="G11" showDropDown="0" showInputMessage="0" showErrorMessage="0" allowBlank="1" type="list">
      <formula1>"🔴 Critique,🟠 Majeure,🟡 Mineure,🟢 Cosmétique"</formula1>
    </dataValidation>
    <dataValidation sqref="F11" showDropDown="0" showInputMessage="0" showErrorMessage="0" allowBlank="1" type="list">
      <formula1>"P1 — Critique,P2 — Haute,P3 — Moyenne,P4 — Basse"</formula1>
    </dataValidation>
    <dataValidation sqref="H11" showDropDown="0" showInputMessage="0" showErrorMessage="0" allowBlank="1" type="list">
      <formula1>"✅ Résolu,🔄 En cours,⏳ À faire,🚫 Abandonné"</formula1>
    </dataValidation>
    <dataValidation sqref="G11" showDropDown="0" showInputMessage="0" showErrorMessage="0" allowBlank="1" type="list">
      <formula1>"🔴 Critique,🟠 Majeure,🟡 Mineure,🟢 Cosmétique"</formula1>
    </dataValidation>
    <dataValidation sqref="F11" showDropDown="0" showInputMessage="0" showErrorMessage="0" allowBlank="1" type="list">
      <formula1>"P1 — Critique,P2 — Haute,P3 — Moyenne,P4 — Basse"</formula1>
    </dataValidation>
    <dataValidation sqref="H11" showDropDown="0" showInputMessage="0" showErrorMessage="0" allowBlank="1" type="list">
      <formula1>"✅ Résolu,🔄 En cours,⏳ À faire,🚫 Abandonné"</formula1>
    </dataValidation>
    <dataValidation sqref="G11" showDropDown="0" showInputMessage="0" showErrorMessage="0" allowBlank="1" type="list">
      <formula1>"🔴 Critique,🟠 Majeure,🟡 Mineure,🟢 Cosmétique"</formula1>
    </dataValidation>
    <dataValidation sqref="F11" showDropDown="0" showInputMessage="0" showErrorMessage="0" allowBlank="1" type="list">
      <formula1>"P1 — Critique,P2 — Haute,P3 — Moyenne,P4 — Basse"</formula1>
    </dataValidation>
    <dataValidation sqref="H11" showDropDown="0" showInputMessage="0" showErrorMessage="0" allowBlank="1" type="list">
      <formula1>"✅ Résolu,🔄 En cours,⏳ À faire,🚫 Abandonné"</formula1>
    </dataValidation>
    <dataValidation sqref="G11" showDropDown="0" showInputMessage="0" showErrorMessage="0" allowBlank="1" type="list">
      <formula1>"🔴 Critique,🟠 Majeure,🟡 Mineure,🟢 Cosmétique"</formula1>
    </dataValidation>
    <dataValidation sqref="F11" showDropDown="0" showInputMessage="0" showErrorMessage="0" allowBlank="1" type="list">
      <formula1>"P1 — Critique,P2 — Haute,P3 — Moyenne,P4 — Basse"</formula1>
    </dataValidation>
    <dataValidation sqref="H11" showDropDown="0" showInputMessage="0" showErrorMessage="0" allowBlank="1" type="list">
      <formula1>"✅ Résolu,🔄 En cours,⏳ À faire,🚫 Abandonné"</formula1>
    </dataValidation>
    <dataValidation sqref="G11" showDropDown="0" showInputMessage="0" showErrorMessage="0" allowBlank="1" type="list">
      <formula1>"🔴 Critique,🟠 Majeure,🟡 Mineure,🟢 Cosmétique"</formula1>
    </dataValidation>
    <dataValidation sqref="F11" showDropDown="0" showInputMessage="0" showErrorMessage="0" allowBlank="1" type="list">
      <formula1>"P1 — Critique,P2 — Haute,P3 — Moyenne,P4 — Basse"</formula1>
    </dataValidation>
    <dataValidation sqref="H11" showDropDown="0" showInputMessage="0" showErrorMessage="0" allowBlank="1" type="list">
      <formula1>"✅ Résolu,🔄 En cours,⏳ À faire,🚫 Abandonné"</formula1>
    </dataValidation>
    <dataValidation sqref="G11" showDropDown="0" showInputMessage="0" showErrorMessage="0" allowBlank="1" type="list">
      <formula1>"🔴 Critique,🟠 Majeure,🟡 Mineure,🟢 Cosmétique"</formula1>
    </dataValidation>
    <dataValidation sqref="F11" showDropDown="0" showInputMessage="0" showErrorMessage="0" allowBlank="1" type="list">
      <formula1>"P1 — Critique,P2 — Haute,P3 — Moyenne,P4 — Basse"</formula1>
    </dataValidation>
    <dataValidation sqref="H12" showDropDown="0" showInputMessage="0" showErrorMessage="0" allowBlank="1" type="list">
      <formula1>"✅ Résolu,🔄 En cours,⏳ À faire,🚫 Abandonné"</formula1>
    </dataValidation>
    <dataValidation sqref="G12" showDropDown="0" showInputMessage="0" showErrorMessage="0" allowBlank="1" type="list">
      <formula1>"🔴 Critique,🟠 Majeure,🟡 Mineure,🟢 Cosmétique"</formula1>
    </dataValidation>
    <dataValidation sqref="F12" showDropDown="0" showInputMessage="0" showErrorMessage="0" allowBlank="1" type="list">
      <formula1>"P1 — Critique,P2 — Haute,P3 — Moyenne,P4 — Basse"</formula1>
    </dataValidation>
    <dataValidation sqref="H12" showDropDown="0" showInputMessage="0" showErrorMessage="0" allowBlank="1" type="list">
      <formula1>"✅ Résolu,🔄 En cours,⏳ À faire,🚫 Abandonné"</formula1>
    </dataValidation>
    <dataValidation sqref="G12" showDropDown="0" showInputMessage="0" showErrorMessage="0" allowBlank="1" type="list">
      <formula1>"🔴 Critique,🟠 Majeure,🟡 Mineure,🟢 Cosmétique"</formula1>
    </dataValidation>
    <dataValidation sqref="F12" showDropDown="0" showInputMessage="0" showErrorMessage="0" allowBlank="1" type="list">
      <formula1>"P1 — Critique,P2 — Haute,P3 — Moyenne,P4 — Basse"</formula1>
    </dataValidation>
    <dataValidation sqref="H12" showDropDown="0" showInputMessage="0" showErrorMessage="0" allowBlank="1" type="list">
      <formula1>"✅ Résolu,🔄 En cours,⏳ À faire,🚫 Abandonné"</formula1>
    </dataValidation>
    <dataValidation sqref="G12" showDropDown="0" showInputMessage="0" showErrorMessage="0" allowBlank="1" type="list">
      <formula1>"🔴 Critique,🟠 Majeure,🟡 Mineure,🟢 Cosmétique"</formula1>
    </dataValidation>
    <dataValidation sqref="F12" showDropDown="0" showInputMessage="0" showErrorMessage="0" allowBlank="1" type="list">
      <formula1>"P1 — Critique,P2 — Haute,P3 — Moyenne,P4 — Basse"</formula1>
    </dataValidation>
    <dataValidation sqref="H12" showDropDown="0" showInputMessage="0" showErrorMessage="0" allowBlank="1" type="list">
      <formula1>"✅ Résolu,🔄 En cours,⏳ À faire,🚫 Abandonné"</formula1>
    </dataValidation>
    <dataValidation sqref="G12" showDropDown="0" showInputMessage="0" showErrorMessage="0" allowBlank="1" type="list">
      <formula1>"🔴 Critique,🟠 Majeure,🟡 Mineure,🟢 Cosmétique"</formula1>
    </dataValidation>
    <dataValidation sqref="F12" showDropDown="0" showInputMessage="0" showErrorMessage="0" allowBlank="1" type="list">
      <formula1>"P1 — Critique,P2 — Haute,P3 — Moyenne,P4 — Basse"</formula1>
    </dataValidation>
    <dataValidation sqref="H12" showDropDown="0" showInputMessage="0" showErrorMessage="0" allowBlank="1" type="list">
      <formula1>"✅ Résolu,🔄 En cours,⏳ À faire,🚫 Abandonné"</formula1>
    </dataValidation>
    <dataValidation sqref="G12" showDropDown="0" showInputMessage="0" showErrorMessage="0" allowBlank="1" type="list">
      <formula1>"🔴 Critique,🟠 Majeure,🟡 Mineure,🟢 Cosmétique"</formula1>
    </dataValidation>
    <dataValidation sqref="F12" showDropDown="0" showInputMessage="0" showErrorMessage="0" allowBlank="1" type="list">
      <formula1>"P1 — Critique,P2 — Haute,P3 — Moyenne,P4 — Basse"</formula1>
    </dataValidation>
    <dataValidation sqref="H12" showDropDown="0" showInputMessage="0" showErrorMessage="0" allowBlank="1" type="list">
      <formula1>"✅ Résolu,🔄 En cours,⏳ À faire,🚫 Abandonné"</formula1>
    </dataValidation>
    <dataValidation sqref="G12" showDropDown="0" showInputMessage="0" showErrorMessage="0" allowBlank="1" type="list">
      <formula1>"🔴 Critique,🟠 Majeure,🟡 Mineure,🟢 Cosmétique"</formula1>
    </dataValidation>
    <dataValidation sqref="F12" showDropDown="0" showInputMessage="0" showErrorMessage="0" allowBlank="1" type="list">
      <formula1>"P1 — Critique,P2 — Haute,P3 — Moyenne,P4 — Basse"</formula1>
    </dataValidation>
    <dataValidation sqref="H12" showDropDown="0" showInputMessage="0" showErrorMessage="0" allowBlank="1" type="list">
      <formula1>"✅ Résolu,🔄 En cours,⏳ À faire,🚫 Abandonné"</formula1>
    </dataValidation>
    <dataValidation sqref="G12" showDropDown="0" showInputMessage="0" showErrorMessage="0" allowBlank="1" type="list">
      <formula1>"🔴 Critique,🟠 Majeure,🟡 Mineure,🟢 Cosmétique"</formula1>
    </dataValidation>
    <dataValidation sqref="F12" showDropDown="0" showInputMessage="0" showErrorMessage="0" allowBlank="1" type="list">
      <formula1>"P1 — Critique,P2 — Haute,P3 — Moyenne,P4 — Basse"</formula1>
    </dataValidation>
    <dataValidation sqref="H12" showDropDown="0" showInputMessage="0" showErrorMessage="0" allowBlank="1" type="list">
      <formula1>"✅ Résolu,🔄 En cours,⏳ À faire,🚫 Abandonné"</formula1>
    </dataValidation>
    <dataValidation sqref="G12" showDropDown="0" showInputMessage="0" showErrorMessage="0" allowBlank="1" type="list">
      <formula1>"🔴 Critique,🟠 Majeure,🟡 Mineure,🟢 Cosmétique"</formula1>
    </dataValidation>
    <dataValidation sqref="F12" showDropDown="0" showInputMessage="0" showErrorMessage="0" allowBlank="1" type="list">
      <formula1>"P1 — Critique,P2 — Haute,P3 — Moyenne,P4 — Basse"</formula1>
    </dataValidation>
    <dataValidation sqref="H12" showDropDown="0" showInputMessage="0" showErrorMessage="0" allowBlank="1" type="list">
      <formula1>"✅ Résolu,🔄 En cours,⏳ À faire,🚫 Abandonné"</formula1>
    </dataValidation>
    <dataValidation sqref="G12" showDropDown="0" showInputMessage="0" showErrorMessage="0" allowBlank="1" type="list">
      <formula1>"🔴 Critique,🟠 Majeure,🟡 Mineure,🟢 Cosmétique"</formula1>
    </dataValidation>
    <dataValidation sqref="F12" showDropDown="0" showInputMessage="0" showErrorMessage="0" allowBlank="1" type="list">
      <formula1>"P1 — Critique,P2 — Haute,P3 — Moyenne,P4 — Basse"</formula1>
    </dataValidation>
    <dataValidation sqref="H12" showDropDown="0" showInputMessage="0" showErrorMessage="0" allowBlank="1" type="list">
      <formula1>"✅ Résolu,🔄 En cours,⏳ À faire,🚫 Abandonné"</formula1>
    </dataValidation>
    <dataValidation sqref="G12" showDropDown="0" showInputMessage="0" showErrorMessage="0" allowBlank="1" type="list">
      <formula1>"🔴 Critique,🟠 Majeure,🟡 Mineure,🟢 Cosmétique"</formula1>
    </dataValidation>
    <dataValidation sqref="F12" showDropDown="0" showInputMessage="0" showErrorMessage="0" allowBlank="1" type="list">
      <formula1>"P1 — Critique,P2 — Haute,P3 — Moyenne,P4 — Basse"</formula1>
    </dataValidation>
    <dataValidation sqref="H12" showDropDown="0" showInputMessage="0" showErrorMessage="0" allowBlank="1" type="list">
      <formula1>"✅ Résolu,🔄 En cours,⏳ À faire,🚫 Abandonné"</formula1>
    </dataValidation>
    <dataValidation sqref="G12" showDropDown="0" showInputMessage="0" showErrorMessage="0" allowBlank="1" type="list">
      <formula1>"🔴 Critique,🟠 Majeure,🟡 Mineure,🟢 Cosmétique"</formula1>
    </dataValidation>
    <dataValidation sqref="F12" showDropDown="0" showInputMessage="0" showErrorMessage="0" allowBlank="1" type="list">
      <formula1>"P1 — Critique,P2 — Haute,P3 — Moyenne,P4 — Basse"</formula1>
    </dataValidation>
    <dataValidation sqref="H12" showDropDown="0" showInputMessage="0" showErrorMessage="0" allowBlank="1" type="list">
      <formula1>"✅ Résolu,🔄 En cours,⏳ À faire,🚫 Abandonné"</formula1>
    </dataValidation>
    <dataValidation sqref="G12" showDropDown="0" showInputMessage="0" showErrorMessage="0" allowBlank="1" type="list">
      <formula1>"🔴 Critique,🟠 Majeure,🟡 Mineure,🟢 Cosmétique"</formula1>
    </dataValidation>
    <dataValidation sqref="F12" showDropDown="0" showInputMessage="0" showErrorMessage="0" allowBlank="1" type="list">
      <formula1>"P1 — Critique,P2 — Haute,P3 — Moyenne,P4 — Basse"</formula1>
    </dataValidation>
    <dataValidation sqref="H13" showDropDown="0" showInputMessage="0" showErrorMessage="0" allowBlank="1" type="list">
      <formula1>"✅ Résolu,🔄 En cours,⏳ À faire,🚫 Abandonné"</formula1>
    </dataValidation>
    <dataValidation sqref="G13" showDropDown="0" showInputMessage="0" showErrorMessage="0" allowBlank="1" type="list">
      <formula1>"🔴 Critique,🟠 Majeure,🟡 Mineure,🟢 Cosmétique"</formula1>
    </dataValidation>
    <dataValidation sqref="F13" showDropDown="0" showInputMessage="0" showErrorMessage="0" allowBlank="1" type="list">
      <formula1>"P1 — Critique,P2 — Haute,P3 — Moyenne,P4 — Basse"</formula1>
    </dataValidation>
    <dataValidation sqref="H13" showDropDown="0" showInputMessage="0" showErrorMessage="0" allowBlank="1" type="list">
      <formula1>"✅ Résolu,🔄 En cours,⏳ À faire,🚫 Abandonné"</formula1>
    </dataValidation>
    <dataValidation sqref="G13" showDropDown="0" showInputMessage="0" showErrorMessage="0" allowBlank="1" type="list">
      <formula1>"🔴 Critique,🟠 Majeure,🟡 Mineure,🟢 Cosmétique"</formula1>
    </dataValidation>
    <dataValidation sqref="F13" showDropDown="0" showInputMessage="0" showErrorMessage="0" allowBlank="1" type="list">
      <formula1>"P1 — Critique,P2 — Haute,P3 — Moyenne,P4 — Basse"</formula1>
    </dataValidation>
    <dataValidation sqref="H13" showDropDown="0" showInputMessage="0" showErrorMessage="0" allowBlank="1" type="list">
      <formula1>"✅ Résolu,🔄 En cours,⏳ À faire,🚫 Abandonné"</formula1>
    </dataValidation>
    <dataValidation sqref="G13" showDropDown="0" showInputMessage="0" showErrorMessage="0" allowBlank="1" type="list">
      <formula1>"🔴 Critique,🟠 Majeure,🟡 Mineure,🟢 Cosmétique"</formula1>
    </dataValidation>
    <dataValidation sqref="F13" showDropDown="0" showInputMessage="0" showErrorMessage="0" allowBlank="1" type="list">
      <formula1>"P1 — Critique,P2 — Haute,P3 — Moyenne,P4 — Basse"</formula1>
    </dataValidation>
    <dataValidation sqref="H13" showDropDown="0" showInputMessage="0" showErrorMessage="0" allowBlank="1" type="list">
      <formula1>"✅ Résolu,🔄 En cours,⏳ À faire,🚫 Abandonné"</formula1>
    </dataValidation>
    <dataValidation sqref="G13" showDropDown="0" showInputMessage="0" showErrorMessage="0" allowBlank="1" type="list">
      <formula1>"🔴 Critique,🟠 Majeure,🟡 Mineure,🟢 Cosmétique"</formula1>
    </dataValidation>
    <dataValidation sqref="F13" showDropDown="0" showInputMessage="0" showErrorMessage="0" allowBlank="1" type="list">
      <formula1>"P1 — Critique,P2 — Haute,P3 — Moyenne,P4 — Basse"</formula1>
    </dataValidation>
    <dataValidation sqref="H13" showDropDown="0" showInputMessage="0" showErrorMessage="0" allowBlank="1" type="list">
      <formula1>"✅ Résolu,🔄 En cours,⏳ À faire,🚫 Abandonné"</formula1>
    </dataValidation>
    <dataValidation sqref="G13" showDropDown="0" showInputMessage="0" showErrorMessage="0" allowBlank="1" type="list">
      <formula1>"🔴 Critique,🟠 Majeure,🟡 Mineure,🟢 Cosmétique"</formula1>
    </dataValidation>
    <dataValidation sqref="F13" showDropDown="0" showInputMessage="0" showErrorMessage="0" allowBlank="1" type="list">
      <formula1>"P1 — Critique,P2 — Haute,P3 — Moyenne,P4 — Basse"</formula1>
    </dataValidation>
    <dataValidation sqref="H13" showDropDown="0" showInputMessage="0" showErrorMessage="0" allowBlank="1" type="list">
      <formula1>"✅ Résolu,🔄 En cours,⏳ À faire,🚫 Abandonné"</formula1>
    </dataValidation>
    <dataValidation sqref="G13" showDropDown="0" showInputMessage="0" showErrorMessage="0" allowBlank="1" type="list">
      <formula1>"🔴 Critique,🟠 Majeure,🟡 Mineure,🟢 Cosmétique"</formula1>
    </dataValidation>
    <dataValidation sqref="F13" showDropDown="0" showInputMessage="0" showErrorMessage="0" allowBlank="1" type="list">
      <formula1>"P1 — Critique,P2 — Haute,P3 — Moyenne,P4 — Basse"</formula1>
    </dataValidation>
    <dataValidation sqref="H13" showDropDown="0" showInputMessage="0" showErrorMessage="0" allowBlank="1" type="list">
      <formula1>"✅ Résolu,🔄 En cours,⏳ À faire,🚫 Abandonné"</formula1>
    </dataValidation>
    <dataValidation sqref="G13" showDropDown="0" showInputMessage="0" showErrorMessage="0" allowBlank="1" type="list">
      <formula1>"🔴 Critique,🟠 Majeure,🟡 Mineure,🟢 Cosmétique"</formula1>
    </dataValidation>
    <dataValidation sqref="F13" showDropDown="0" showInputMessage="0" showErrorMessage="0" allowBlank="1" type="list">
      <formula1>"P1 — Critique,P2 — Haute,P3 — Moyenne,P4 — Basse"</formula1>
    </dataValidation>
    <dataValidation sqref="H13" showDropDown="0" showInputMessage="0" showErrorMessage="0" allowBlank="1" type="list">
      <formula1>"✅ Résolu,🔄 En cours,⏳ À faire,🚫 Abandonné"</formula1>
    </dataValidation>
    <dataValidation sqref="G13" showDropDown="0" showInputMessage="0" showErrorMessage="0" allowBlank="1" type="list">
      <formula1>"🔴 Critique,🟠 Majeure,🟡 Mineure,🟢 Cosmétique"</formula1>
    </dataValidation>
    <dataValidation sqref="F13" showDropDown="0" showInputMessage="0" showErrorMessage="0" allowBlank="1" type="list">
      <formula1>"P1 — Critique,P2 — Haute,P3 — Moyenne,P4 — Basse"</formula1>
    </dataValidation>
    <dataValidation sqref="H13" showDropDown="0" showInputMessage="0" showErrorMessage="0" allowBlank="1" type="list">
      <formula1>"✅ Résolu,🔄 En cours,⏳ À faire,🚫 Abandonné"</formula1>
    </dataValidation>
    <dataValidation sqref="G13" showDropDown="0" showInputMessage="0" showErrorMessage="0" allowBlank="1" type="list">
      <formula1>"🔴 Critique,🟠 Majeure,🟡 Mineure,🟢 Cosmétique"</formula1>
    </dataValidation>
    <dataValidation sqref="F13" showDropDown="0" showInputMessage="0" showErrorMessage="0" allowBlank="1" type="list">
      <formula1>"P1 — Critique,P2 — Haute,P3 — Moyenne,P4 — Basse"</formula1>
    </dataValidation>
    <dataValidation sqref="H13" showDropDown="0" showInputMessage="0" showErrorMessage="0" allowBlank="1" type="list">
      <formula1>"✅ Résolu,🔄 En cours,⏳ À faire,🚫 Abandonné"</formula1>
    </dataValidation>
    <dataValidation sqref="G13" showDropDown="0" showInputMessage="0" showErrorMessage="0" allowBlank="1" type="list">
      <formula1>"🔴 Critique,🟠 Majeure,🟡 Mineure,🟢 Cosmétique"</formula1>
    </dataValidation>
    <dataValidation sqref="F13" showDropDown="0" showInputMessage="0" showErrorMessage="0" allowBlank="1" type="list">
      <formula1>"P1 — Critique,P2 — Haute,P3 — Moyenne,P4 — Basse"</formula1>
    </dataValidation>
    <dataValidation sqref="H13" showDropDown="0" showInputMessage="0" showErrorMessage="0" allowBlank="1" type="list">
      <formula1>"✅ Résolu,🔄 En cours,⏳ À faire,🚫 Abandonné"</formula1>
    </dataValidation>
    <dataValidation sqref="G13" showDropDown="0" showInputMessage="0" showErrorMessage="0" allowBlank="1" type="list">
      <formula1>"🔴 Critique,🟠 Majeure,🟡 Mineure,🟢 Cosmétique"</formula1>
    </dataValidation>
    <dataValidation sqref="F13" showDropDown="0" showInputMessage="0" showErrorMessage="0" allowBlank="1" type="list">
      <formula1>"P1 — Critique,P2 — Haute,P3 — Moyenne,P4 — Basse"</formula1>
    </dataValidation>
    <dataValidation sqref="H13" showDropDown="0" showInputMessage="0" showErrorMessage="0" allowBlank="1" type="list">
      <formula1>"✅ Résolu,🔄 En cours,⏳ À faire,🚫 Abandonné"</formula1>
    </dataValidation>
    <dataValidation sqref="G13" showDropDown="0" showInputMessage="0" showErrorMessage="0" allowBlank="1" type="list">
      <formula1>"🔴 Critique,🟠 Majeure,🟡 Mineure,🟢 Cosmétique"</formula1>
    </dataValidation>
    <dataValidation sqref="F13" showDropDown="0" showInputMessage="0" showErrorMessage="0" allowBlank="1" type="list">
      <formula1>"P1 — Critique,P2 — Haute,P3 — Moyenne,P4 — Basse"</formula1>
    </dataValidation>
    <dataValidation sqref="H14" showDropDown="0" showInputMessage="0" showErrorMessage="0" allowBlank="1" type="list">
      <formula1>"✅ Résolu,🔄 En cours,⏳ À faire,🚫 Abandonné"</formula1>
    </dataValidation>
    <dataValidation sqref="G14" showDropDown="0" showInputMessage="0" showErrorMessage="0" allowBlank="1" type="list">
      <formula1>"🔴 Critique,🟠 Majeure,🟡 Mineure,🟢 Cosmétique"</formula1>
    </dataValidation>
    <dataValidation sqref="F14" showDropDown="0" showInputMessage="0" showErrorMessage="0" allowBlank="1" type="list">
      <formula1>"P1 — Critique,P2 — Haute,P3 — Moyenne,P4 — Basse"</formula1>
    </dataValidation>
    <dataValidation sqref="H14" showDropDown="0" showInputMessage="0" showErrorMessage="0" allowBlank="1" type="list">
      <formula1>"✅ Résolu,🔄 En cours,⏳ À faire,🚫 Abandonné"</formula1>
    </dataValidation>
    <dataValidation sqref="G14" showDropDown="0" showInputMessage="0" showErrorMessage="0" allowBlank="1" type="list">
      <formula1>"🔴 Critique,🟠 Majeure,🟡 Mineure,🟢 Cosmétique"</formula1>
    </dataValidation>
    <dataValidation sqref="F14" showDropDown="0" showInputMessage="0" showErrorMessage="0" allowBlank="1" type="list">
      <formula1>"P1 — Critique,P2 — Haute,P3 — Moyenne,P4 — Basse"</formula1>
    </dataValidation>
    <dataValidation sqref="H14" showDropDown="0" showInputMessage="0" showErrorMessage="0" allowBlank="1" type="list">
      <formula1>"✅ Résolu,🔄 En cours,⏳ À faire,🚫 Abandonné"</formula1>
    </dataValidation>
    <dataValidation sqref="G14" showDropDown="0" showInputMessage="0" showErrorMessage="0" allowBlank="1" type="list">
      <formula1>"🔴 Critique,🟠 Majeure,🟡 Mineure,🟢 Cosmétique"</formula1>
    </dataValidation>
    <dataValidation sqref="F14" showDropDown="0" showInputMessage="0" showErrorMessage="0" allowBlank="1" type="list">
      <formula1>"P1 — Critique,P2 — Haute,P3 — Moyenne,P4 — Basse"</formula1>
    </dataValidation>
    <dataValidation sqref="H14" showDropDown="0" showInputMessage="0" showErrorMessage="0" allowBlank="1" type="list">
      <formula1>"✅ Résolu,🔄 En cours,⏳ À faire,🚫 Abandonné"</formula1>
    </dataValidation>
    <dataValidation sqref="G14" showDropDown="0" showInputMessage="0" showErrorMessage="0" allowBlank="1" type="list">
      <formula1>"🔴 Critique,🟠 Majeure,🟡 Mineure,🟢 Cosmétique"</formula1>
    </dataValidation>
    <dataValidation sqref="F14" showDropDown="0" showInputMessage="0" showErrorMessage="0" allowBlank="1" type="list">
      <formula1>"P1 — Critique,P2 — Haute,P3 — Moyenne,P4 — Basse"</formula1>
    </dataValidation>
    <dataValidation sqref="H14" showDropDown="0" showInputMessage="0" showErrorMessage="0" allowBlank="1" type="list">
      <formula1>"✅ Résolu,🔄 En cours,⏳ À faire,🚫 Abandonné"</formula1>
    </dataValidation>
    <dataValidation sqref="G14" showDropDown="0" showInputMessage="0" showErrorMessage="0" allowBlank="1" type="list">
      <formula1>"🔴 Critique,🟠 Majeure,🟡 Mineure,🟢 Cosmétique"</formula1>
    </dataValidation>
    <dataValidation sqref="F14" showDropDown="0" showInputMessage="0" showErrorMessage="0" allowBlank="1" type="list">
      <formula1>"P1 — Critique,P2 — Haute,P3 — Moyenne,P4 — Basse"</formula1>
    </dataValidation>
    <dataValidation sqref="H14" showDropDown="0" showInputMessage="0" showErrorMessage="0" allowBlank="1" type="list">
      <formula1>"✅ Résolu,🔄 En cours,⏳ À faire,🚫 Abandonné"</formula1>
    </dataValidation>
    <dataValidation sqref="G14" showDropDown="0" showInputMessage="0" showErrorMessage="0" allowBlank="1" type="list">
      <formula1>"🔴 Critique,🟠 Majeure,🟡 Mineure,🟢 Cosmétique"</formula1>
    </dataValidation>
    <dataValidation sqref="F14" showDropDown="0" showInputMessage="0" showErrorMessage="0" allowBlank="1" type="list">
      <formula1>"P1 — Critique,P2 — Haute,P3 — Moyenne,P4 — Basse"</formula1>
    </dataValidation>
    <dataValidation sqref="H14" showDropDown="0" showInputMessage="0" showErrorMessage="0" allowBlank="1" type="list">
      <formula1>"✅ Résolu,🔄 En cours,⏳ À faire,🚫 Abandonné"</formula1>
    </dataValidation>
    <dataValidation sqref="G14" showDropDown="0" showInputMessage="0" showErrorMessage="0" allowBlank="1" type="list">
      <formula1>"🔴 Critique,🟠 Majeure,🟡 Mineure,🟢 Cosmétique"</formula1>
    </dataValidation>
    <dataValidation sqref="F14" showDropDown="0" showInputMessage="0" showErrorMessage="0" allowBlank="1" type="list">
      <formula1>"P1 — Critique,P2 — Haute,P3 — Moyenne,P4 — Basse"</formula1>
    </dataValidation>
    <dataValidation sqref="H14" showDropDown="0" showInputMessage="0" showErrorMessage="0" allowBlank="1" type="list">
      <formula1>"✅ Résolu,🔄 En cours,⏳ À faire,🚫 Abandonné"</formula1>
    </dataValidation>
    <dataValidation sqref="G14" showDropDown="0" showInputMessage="0" showErrorMessage="0" allowBlank="1" type="list">
      <formula1>"🔴 Critique,🟠 Majeure,🟡 Mineure,🟢 Cosmétique"</formula1>
    </dataValidation>
    <dataValidation sqref="F14" showDropDown="0" showInputMessage="0" showErrorMessage="0" allowBlank="1" type="list">
      <formula1>"P1 — Critique,P2 — Haute,P3 — Moyenne,P4 — Basse"</formula1>
    </dataValidation>
    <dataValidation sqref="H14" showDropDown="0" showInputMessage="0" showErrorMessage="0" allowBlank="1" type="list">
      <formula1>"✅ Résolu,🔄 En cours,⏳ À faire,🚫 Abandonné"</formula1>
    </dataValidation>
    <dataValidation sqref="G14" showDropDown="0" showInputMessage="0" showErrorMessage="0" allowBlank="1" type="list">
      <formula1>"🔴 Critique,🟠 Majeure,🟡 Mineure,🟢 Cosmétique"</formula1>
    </dataValidation>
    <dataValidation sqref="F14" showDropDown="0" showInputMessage="0" showErrorMessage="0" allowBlank="1" type="list">
      <formula1>"P1 — Critique,P2 — Haute,P3 — Moyenne,P4 — Basse"</formula1>
    </dataValidation>
    <dataValidation sqref="H14" showDropDown="0" showInputMessage="0" showErrorMessage="0" allowBlank="1" type="list">
      <formula1>"✅ Résolu,🔄 En cours,⏳ À faire,🚫 Abandonné"</formula1>
    </dataValidation>
    <dataValidation sqref="G14" showDropDown="0" showInputMessage="0" showErrorMessage="0" allowBlank="1" type="list">
      <formula1>"🔴 Critique,🟠 Majeure,🟡 Mineure,🟢 Cosmétique"</formula1>
    </dataValidation>
    <dataValidation sqref="F14" showDropDown="0" showInputMessage="0" showErrorMessage="0" allowBlank="1" type="list">
      <formula1>"P1 — Critique,P2 — Haute,P3 — Moyenne,P4 — Basse"</formula1>
    </dataValidation>
    <dataValidation sqref="H14" showDropDown="0" showInputMessage="0" showErrorMessage="0" allowBlank="1" type="list">
      <formula1>"✅ Résolu,🔄 En cours,⏳ À faire,🚫 Abandonné"</formula1>
    </dataValidation>
    <dataValidation sqref="G14" showDropDown="0" showInputMessage="0" showErrorMessage="0" allowBlank="1" type="list">
      <formula1>"🔴 Critique,🟠 Majeure,🟡 Mineure,🟢 Cosmétique"</formula1>
    </dataValidation>
    <dataValidation sqref="F14" showDropDown="0" showInputMessage="0" showErrorMessage="0" allowBlank="1" type="list">
      <formula1>"P1 — Critique,P2 — Haute,P3 — Moyenne,P4 — Basse"</formula1>
    </dataValidation>
    <dataValidation sqref="H14" showDropDown="0" showInputMessage="0" showErrorMessage="0" allowBlank="1" type="list">
      <formula1>"✅ Résolu,🔄 En cours,⏳ À faire,🚫 Abandonné"</formula1>
    </dataValidation>
    <dataValidation sqref="G14" showDropDown="0" showInputMessage="0" showErrorMessage="0" allowBlank="1" type="list">
      <formula1>"🔴 Critique,🟠 Majeure,🟡 Mineure,🟢 Cosmétique"</formula1>
    </dataValidation>
    <dataValidation sqref="F14" showDropDown="0" showInputMessage="0" showErrorMessage="0" allowBlank="1" type="list">
      <formula1>"P1 — Critique,P2 — Haute,P3 — Moyenne,P4 — Basse"</formula1>
    </dataValidation>
    <dataValidation sqref="H15" showDropDown="0" showInputMessage="0" showErrorMessage="0" allowBlank="1" type="list">
      <formula1>"✅ Résolu,🔄 En cours,⏳ À faire,🚫 Abandonné"</formula1>
    </dataValidation>
    <dataValidation sqref="G15" showDropDown="0" showInputMessage="0" showErrorMessage="0" allowBlank="1" type="list">
      <formula1>"🔴 Critique,🟠 Majeure,🟡 Mineure,🟢 Cosmétique"</formula1>
    </dataValidation>
    <dataValidation sqref="F15" showDropDown="0" showInputMessage="0" showErrorMessage="0" allowBlank="1" type="list">
      <formula1>"P1 — Critique,P2 — Haute,P3 — Moyenne,P4 — Basse"</formula1>
    </dataValidation>
    <dataValidation sqref="H15" showDropDown="0" showInputMessage="0" showErrorMessage="0" allowBlank="1" type="list">
      <formula1>"✅ Résolu,🔄 En cours,⏳ À faire,🚫 Abandonné"</formula1>
    </dataValidation>
    <dataValidation sqref="G15" showDropDown="0" showInputMessage="0" showErrorMessage="0" allowBlank="1" type="list">
      <formula1>"🔴 Critique,🟠 Majeure,🟡 Mineure,🟢 Cosmétique"</formula1>
    </dataValidation>
    <dataValidation sqref="F15" showDropDown="0" showInputMessage="0" showErrorMessage="0" allowBlank="1" type="list">
      <formula1>"P1 — Critique,P2 — Haute,P3 — Moyenne,P4 — Basse"</formula1>
    </dataValidation>
    <dataValidation sqref="H15" showDropDown="0" showInputMessage="0" showErrorMessage="0" allowBlank="1" type="list">
      <formula1>"✅ Résolu,🔄 En cours,⏳ À faire,🚫 Abandonné"</formula1>
    </dataValidation>
    <dataValidation sqref="G15" showDropDown="0" showInputMessage="0" showErrorMessage="0" allowBlank="1" type="list">
      <formula1>"🔴 Critique,🟠 Majeure,🟡 Mineure,🟢 Cosmétique"</formula1>
    </dataValidation>
    <dataValidation sqref="F15" showDropDown="0" showInputMessage="0" showErrorMessage="0" allowBlank="1" type="list">
      <formula1>"P1 — Critique,P2 — Haute,P3 — Moyenne,P4 — Basse"</formula1>
    </dataValidation>
    <dataValidation sqref="H15" showDropDown="0" showInputMessage="0" showErrorMessage="0" allowBlank="1" type="list">
      <formula1>"✅ Résolu,🔄 En cours,⏳ À faire,🚫 Abandonné"</formula1>
    </dataValidation>
    <dataValidation sqref="G15" showDropDown="0" showInputMessage="0" showErrorMessage="0" allowBlank="1" type="list">
      <formula1>"🔴 Critique,🟠 Majeure,🟡 Mineure,🟢 Cosmétique"</formula1>
    </dataValidation>
    <dataValidation sqref="F15" showDropDown="0" showInputMessage="0" showErrorMessage="0" allowBlank="1" type="list">
      <formula1>"P1 — Critique,P2 — Haute,P3 — Moyenne,P4 — Basse"</formula1>
    </dataValidation>
    <dataValidation sqref="H15" showDropDown="0" showInputMessage="0" showErrorMessage="0" allowBlank="1" type="list">
      <formula1>"✅ Résolu,🔄 En cours,⏳ À faire,🚫 Abandonné"</formula1>
    </dataValidation>
    <dataValidation sqref="G15" showDropDown="0" showInputMessage="0" showErrorMessage="0" allowBlank="1" type="list">
      <formula1>"🔴 Critique,🟠 Majeure,🟡 Mineure,🟢 Cosmétique"</formula1>
    </dataValidation>
    <dataValidation sqref="F15" showDropDown="0" showInputMessage="0" showErrorMessage="0" allowBlank="1" type="list">
      <formula1>"P1 — Critique,P2 — Haute,P3 — Moyenne,P4 — Basse"</formula1>
    </dataValidation>
    <dataValidation sqref="H15" showDropDown="0" showInputMessage="0" showErrorMessage="0" allowBlank="1" type="list">
      <formula1>"✅ Résolu,🔄 En cours,⏳ À faire,🚫 Abandonné"</formula1>
    </dataValidation>
    <dataValidation sqref="G15" showDropDown="0" showInputMessage="0" showErrorMessage="0" allowBlank="1" type="list">
      <formula1>"🔴 Critique,🟠 Majeure,🟡 Mineure,🟢 Cosmétique"</formula1>
    </dataValidation>
    <dataValidation sqref="F15" showDropDown="0" showInputMessage="0" showErrorMessage="0" allowBlank="1" type="list">
      <formula1>"P1 — Critique,P2 — Haute,P3 — Moyenne,P4 — Basse"</formula1>
    </dataValidation>
    <dataValidation sqref="H15" showDropDown="0" showInputMessage="0" showErrorMessage="0" allowBlank="1" type="list">
      <formula1>"✅ Résolu,🔄 En cours,⏳ À faire,🚫 Abandonné"</formula1>
    </dataValidation>
    <dataValidation sqref="G15" showDropDown="0" showInputMessage="0" showErrorMessage="0" allowBlank="1" type="list">
      <formula1>"🔴 Critique,🟠 Majeure,🟡 Mineure,🟢 Cosmétique"</formula1>
    </dataValidation>
    <dataValidation sqref="F15" showDropDown="0" showInputMessage="0" showErrorMessage="0" allowBlank="1" type="list">
      <formula1>"P1 — Critique,P2 — Haute,P3 — Moyenne,P4 — Basse"</formula1>
    </dataValidation>
    <dataValidation sqref="H15" showDropDown="0" showInputMessage="0" showErrorMessage="0" allowBlank="1" type="list">
      <formula1>"✅ Résolu,🔄 En cours,⏳ À faire,🚫 Abandonné"</formula1>
    </dataValidation>
    <dataValidation sqref="G15" showDropDown="0" showInputMessage="0" showErrorMessage="0" allowBlank="1" type="list">
      <formula1>"🔴 Critique,🟠 Majeure,🟡 Mineure,🟢 Cosmétique"</formula1>
    </dataValidation>
    <dataValidation sqref="F15" showDropDown="0" showInputMessage="0" showErrorMessage="0" allowBlank="1" type="list">
      <formula1>"P1 — Critique,P2 — Haute,P3 — Moyenne,P4 — Basse"</formula1>
    </dataValidation>
    <dataValidation sqref="H15" showDropDown="0" showInputMessage="0" showErrorMessage="0" allowBlank="1" type="list">
      <formula1>"✅ Résolu,🔄 En cours,⏳ À faire,🚫 Abandonné"</formula1>
    </dataValidation>
    <dataValidation sqref="G15" showDropDown="0" showInputMessage="0" showErrorMessage="0" allowBlank="1" type="list">
      <formula1>"🔴 Critique,🟠 Majeure,🟡 Mineure,🟢 Cosmétique"</formula1>
    </dataValidation>
    <dataValidation sqref="F15" showDropDown="0" showInputMessage="0" showErrorMessage="0" allowBlank="1" type="list">
      <formula1>"P1 — Critique,P2 — Haute,P3 — Moyenne,P4 — Basse"</formula1>
    </dataValidation>
    <dataValidation sqref="H15" showDropDown="0" showInputMessage="0" showErrorMessage="0" allowBlank="1" type="list">
      <formula1>"✅ Résolu,🔄 En cours,⏳ À faire,🚫 Abandonné"</formula1>
    </dataValidation>
    <dataValidation sqref="G15" showDropDown="0" showInputMessage="0" showErrorMessage="0" allowBlank="1" type="list">
      <formula1>"🔴 Critique,🟠 Majeure,🟡 Mineure,🟢 Cosmétique"</formula1>
    </dataValidation>
    <dataValidation sqref="F15" showDropDown="0" showInputMessage="0" showErrorMessage="0" allowBlank="1" type="list">
      <formula1>"P1 — Critique,P2 — Haute,P3 — Moyenne,P4 — Basse"</formula1>
    </dataValidation>
    <dataValidation sqref="H15" showDropDown="0" showInputMessage="0" showErrorMessage="0" allowBlank="1" type="list">
      <formula1>"✅ Résolu,🔄 En cours,⏳ À faire,🚫 Abandonné"</formula1>
    </dataValidation>
    <dataValidation sqref="G15" showDropDown="0" showInputMessage="0" showErrorMessage="0" allowBlank="1" type="list">
      <formula1>"🔴 Critique,🟠 Majeure,🟡 Mineure,🟢 Cosmétique"</formula1>
    </dataValidation>
    <dataValidation sqref="F15" showDropDown="0" showInputMessage="0" showErrorMessage="0" allowBlank="1" type="list">
      <formula1>"P1 — Critique,P2 — Haute,P3 — Moyenne,P4 — Basse"</formula1>
    </dataValidation>
    <dataValidation sqref="H15" showDropDown="0" showInputMessage="0" showErrorMessage="0" allowBlank="1" type="list">
      <formula1>"✅ Résolu,🔄 En cours,⏳ À faire,🚫 Abandonné"</formula1>
    </dataValidation>
    <dataValidation sqref="G15" showDropDown="0" showInputMessage="0" showErrorMessage="0" allowBlank="1" type="list">
      <formula1>"🔴 Critique,🟠 Majeure,🟡 Mineure,🟢 Cosmétique"</formula1>
    </dataValidation>
    <dataValidation sqref="F15" showDropDown="0" showInputMessage="0" showErrorMessage="0" allowBlank="1" type="list">
      <formula1>"P1 — Critique,P2 — Haute,P3 — Moyenne,P4 — Basse"</formula1>
    </dataValidation>
    <dataValidation sqref="H16" showDropDown="0" showInputMessage="0" showErrorMessage="0" allowBlank="1" type="list">
      <formula1>"✅ Résolu,🔄 En cours,⏳ À faire,🚫 Abandonné"</formula1>
    </dataValidation>
    <dataValidation sqref="G16" showDropDown="0" showInputMessage="0" showErrorMessage="0" allowBlank="1" type="list">
      <formula1>"🔴 Critique,🟠 Majeure,🟡 Mineure,🟢 Cosmétique"</formula1>
    </dataValidation>
    <dataValidation sqref="F16" showDropDown="0" showInputMessage="0" showErrorMessage="0" allowBlank="1" type="list">
      <formula1>"P1 — Critique,P2 — Haute,P3 — Moyenne,P4 — Basse"</formula1>
    </dataValidation>
    <dataValidation sqref="H16" showDropDown="0" showInputMessage="0" showErrorMessage="0" allowBlank="1" type="list">
      <formula1>"✅ Résolu,🔄 En cours,⏳ À faire,🚫 Abandonné"</formula1>
    </dataValidation>
    <dataValidation sqref="G16" showDropDown="0" showInputMessage="0" showErrorMessage="0" allowBlank="1" type="list">
      <formula1>"🔴 Critique,🟠 Majeure,🟡 Mineure,🟢 Cosmétique"</formula1>
    </dataValidation>
    <dataValidation sqref="F16" showDropDown="0" showInputMessage="0" showErrorMessage="0" allowBlank="1" type="list">
      <formula1>"P1 — Critique,P2 — Haute,P3 — Moyenne,P4 — Basse"</formula1>
    </dataValidation>
    <dataValidation sqref="H16" showDropDown="0" showInputMessage="0" showErrorMessage="0" allowBlank="1" type="list">
      <formula1>"✅ Résolu,🔄 En cours,⏳ À faire,🚫 Abandonné"</formula1>
    </dataValidation>
    <dataValidation sqref="G16" showDropDown="0" showInputMessage="0" showErrorMessage="0" allowBlank="1" type="list">
      <formula1>"🔴 Critique,🟠 Majeure,🟡 Mineure,🟢 Cosmétique"</formula1>
    </dataValidation>
    <dataValidation sqref="F16" showDropDown="0" showInputMessage="0" showErrorMessage="0" allowBlank="1" type="list">
      <formula1>"P1 — Critique,P2 — Haute,P3 — Moyenne,P4 — Basse"</formula1>
    </dataValidation>
    <dataValidation sqref="H16" showDropDown="0" showInputMessage="0" showErrorMessage="0" allowBlank="1" type="list">
      <formula1>"✅ Résolu,🔄 En cours,⏳ À faire,🚫 Abandonné"</formula1>
    </dataValidation>
    <dataValidation sqref="G16" showDropDown="0" showInputMessage="0" showErrorMessage="0" allowBlank="1" type="list">
      <formula1>"🔴 Critique,🟠 Majeure,🟡 Mineure,🟢 Cosmétique"</formula1>
    </dataValidation>
    <dataValidation sqref="F16" showDropDown="0" showInputMessage="0" showErrorMessage="0" allowBlank="1" type="list">
      <formula1>"P1 — Critique,P2 — Haute,P3 — Moyenne,P4 — Basse"</formula1>
    </dataValidation>
    <dataValidation sqref="H16" showDropDown="0" showInputMessage="0" showErrorMessage="0" allowBlank="1" type="list">
      <formula1>"✅ Résolu,🔄 En cours,⏳ À faire,🚫 Abandonné"</formula1>
    </dataValidation>
    <dataValidation sqref="G16" showDropDown="0" showInputMessage="0" showErrorMessage="0" allowBlank="1" type="list">
      <formula1>"🔴 Critique,🟠 Majeure,🟡 Mineure,🟢 Cosmétique"</formula1>
    </dataValidation>
    <dataValidation sqref="F16" showDropDown="0" showInputMessage="0" showErrorMessage="0" allowBlank="1" type="list">
      <formula1>"P1 — Critique,P2 — Haute,P3 — Moyenne,P4 — Basse"</formula1>
    </dataValidation>
    <dataValidation sqref="H16" showDropDown="0" showInputMessage="0" showErrorMessage="0" allowBlank="1" type="list">
      <formula1>"✅ Résolu,🔄 En cours,⏳ À faire,🚫 Abandonné"</formula1>
    </dataValidation>
    <dataValidation sqref="G16" showDropDown="0" showInputMessage="0" showErrorMessage="0" allowBlank="1" type="list">
      <formula1>"🔴 Critique,🟠 Majeure,🟡 Mineure,🟢 Cosmétique"</formula1>
    </dataValidation>
    <dataValidation sqref="F16" showDropDown="0" showInputMessage="0" showErrorMessage="0" allowBlank="1" type="list">
      <formula1>"P1 — Critique,P2 — Haute,P3 — Moyenne,P4 — Basse"</formula1>
    </dataValidation>
    <dataValidation sqref="H16" showDropDown="0" showInputMessage="0" showErrorMessage="0" allowBlank="1" type="list">
      <formula1>"✅ Résolu,🔄 En cours,⏳ À faire,🚫 Abandonné"</formula1>
    </dataValidation>
    <dataValidation sqref="G16" showDropDown="0" showInputMessage="0" showErrorMessage="0" allowBlank="1" type="list">
      <formula1>"🔴 Critique,🟠 Majeure,🟡 Mineure,🟢 Cosmétique"</formula1>
    </dataValidation>
    <dataValidation sqref="F16" showDropDown="0" showInputMessage="0" showErrorMessage="0" allowBlank="1" type="list">
      <formula1>"P1 — Critique,P2 — Haute,P3 — Moyenne,P4 — Basse"</formula1>
    </dataValidation>
    <dataValidation sqref="H16" showDropDown="0" showInputMessage="0" showErrorMessage="0" allowBlank="1" type="list">
      <formula1>"✅ Résolu,🔄 En cours,⏳ À faire,🚫 Abandonné"</formula1>
    </dataValidation>
    <dataValidation sqref="G16" showDropDown="0" showInputMessage="0" showErrorMessage="0" allowBlank="1" type="list">
      <formula1>"🔴 Critique,🟠 Majeure,🟡 Mineure,🟢 Cosmétique"</formula1>
    </dataValidation>
    <dataValidation sqref="F16" showDropDown="0" showInputMessage="0" showErrorMessage="0" allowBlank="1" type="list">
      <formula1>"P1 — Critique,P2 — Haute,P3 — Moyenne,P4 — Basse"</formula1>
    </dataValidation>
    <dataValidation sqref="H16" showDropDown="0" showInputMessage="0" showErrorMessage="0" allowBlank="1" type="list">
      <formula1>"✅ Résolu,🔄 En cours,⏳ À faire,🚫 Abandonné"</formula1>
    </dataValidation>
    <dataValidation sqref="G16" showDropDown="0" showInputMessage="0" showErrorMessage="0" allowBlank="1" type="list">
      <formula1>"🔴 Critique,🟠 Majeure,🟡 Mineure,🟢 Cosmétique"</formula1>
    </dataValidation>
    <dataValidation sqref="F16" showDropDown="0" showInputMessage="0" showErrorMessage="0" allowBlank="1" type="list">
      <formula1>"P1 — Critique,P2 — Haute,P3 — Moyenne,P4 — Basse"</formula1>
    </dataValidation>
    <dataValidation sqref="H16" showDropDown="0" showInputMessage="0" showErrorMessage="0" allowBlank="1" type="list">
      <formula1>"✅ Résolu,🔄 En cours,⏳ À faire,🚫 Abandonné"</formula1>
    </dataValidation>
    <dataValidation sqref="G16" showDropDown="0" showInputMessage="0" showErrorMessage="0" allowBlank="1" type="list">
      <formula1>"🔴 Critique,🟠 Majeure,🟡 Mineure,🟢 Cosmétique"</formula1>
    </dataValidation>
    <dataValidation sqref="F16" showDropDown="0" showInputMessage="0" showErrorMessage="0" allowBlank="1" type="list">
      <formula1>"P1 — Critique,P2 — Haute,P3 — Moyenne,P4 — Basse"</formula1>
    </dataValidation>
    <dataValidation sqref="H16" showDropDown="0" showInputMessage="0" showErrorMessage="0" allowBlank="1" type="list">
      <formula1>"✅ Résolu,🔄 En cours,⏳ À faire,🚫 Abandonné"</formula1>
    </dataValidation>
    <dataValidation sqref="G16" showDropDown="0" showInputMessage="0" showErrorMessage="0" allowBlank="1" type="list">
      <formula1>"🔴 Critique,🟠 Majeure,🟡 Mineure,🟢 Cosmétique"</formula1>
    </dataValidation>
    <dataValidation sqref="F16" showDropDown="0" showInputMessage="0" showErrorMessage="0" allowBlank="1" type="list">
      <formula1>"P1 — Critique,P2 — Haute,P3 — Moyenne,P4 — Basse"</formula1>
    </dataValidation>
    <dataValidation sqref="H16" showDropDown="0" showInputMessage="0" showErrorMessage="0" allowBlank="1" type="list">
      <formula1>"✅ Résolu,🔄 En cours,⏳ À faire,🚫 Abandonné"</formula1>
    </dataValidation>
    <dataValidation sqref="G16" showDropDown="0" showInputMessage="0" showErrorMessage="0" allowBlank="1" type="list">
      <formula1>"🔴 Critique,🟠 Majeure,🟡 Mineure,🟢 Cosmétique"</formula1>
    </dataValidation>
    <dataValidation sqref="F16" showDropDown="0" showInputMessage="0" showErrorMessage="0" allowBlank="1" type="list">
      <formula1>"P1 — Critique,P2 — Haute,P3 — Moyenne,P4 — Basse"</formula1>
    </dataValidation>
    <dataValidation sqref="H17" showDropDown="0" showInputMessage="0" showErrorMessage="0" allowBlank="1" type="list">
      <formula1>"✅ Résolu,🔄 En cours,⏳ À faire,🚫 Abandonné"</formula1>
    </dataValidation>
    <dataValidation sqref="G17" showDropDown="0" showInputMessage="0" showErrorMessage="0" allowBlank="1" type="list">
      <formula1>"🔴 Critique,🟠 Majeure,🟡 Mineure,🟢 Cosmétique"</formula1>
    </dataValidation>
    <dataValidation sqref="F17" showDropDown="0" showInputMessage="0" showErrorMessage="0" allowBlank="1" type="list">
      <formula1>"P1 — Critique,P2 — Haute,P3 — Moyenne,P4 — Basse"</formula1>
    </dataValidation>
    <dataValidation sqref="H17" showDropDown="0" showInputMessage="0" showErrorMessage="0" allowBlank="1" type="list">
      <formula1>"✅ Résolu,🔄 En cours,⏳ À faire,🚫 Abandonné"</formula1>
    </dataValidation>
    <dataValidation sqref="G17" showDropDown="0" showInputMessage="0" showErrorMessage="0" allowBlank="1" type="list">
      <formula1>"🔴 Critique,🟠 Majeure,🟡 Mineure,🟢 Cosmétique"</formula1>
    </dataValidation>
    <dataValidation sqref="F17" showDropDown="0" showInputMessage="0" showErrorMessage="0" allowBlank="1" type="list">
      <formula1>"P1 — Critique,P2 — Haute,P3 — Moyenne,P4 — Basse"</formula1>
    </dataValidation>
    <dataValidation sqref="H17" showDropDown="0" showInputMessage="0" showErrorMessage="0" allowBlank="1" type="list">
      <formula1>"✅ Résolu,🔄 En cours,⏳ À faire,🚫 Abandonné"</formula1>
    </dataValidation>
    <dataValidation sqref="G17" showDropDown="0" showInputMessage="0" showErrorMessage="0" allowBlank="1" type="list">
      <formula1>"🔴 Critique,🟠 Majeure,🟡 Mineure,🟢 Cosmétique"</formula1>
    </dataValidation>
    <dataValidation sqref="F17" showDropDown="0" showInputMessage="0" showErrorMessage="0" allowBlank="1" type="list">
      <formula1>"P1 — Critique,P2 — Haute,P3 — Moyenne,P4 — Basse"</formula1>
    </dataValidation>
    <dataValidation sqref="H17" showDropDown="0" showInputMessage="0" showErrorMessage="0" allowBlank="1" type="list">
      <formula1>"✅ Résolu,🔄 En cours,⏳ À faire,🚫 Abandonné"</formula1>
    </dataValidation>
    <dataValidation sqref="G17" showDropDown="0" showInputMessage="0" showErrorMessage="0" allowBlank="1" type="list">
      <formula1>"🔴 Critique,🟠 Majeure,🟡 Mineure,🟢 Cosmétique"</formula1>
    </dataValidation>
    <dataValidation sqref="F17" showDropDown="0" showInputMessage="0" showErrorMessage="0" allowBlank="1" type="list">
      <formula1>"P1 — Critique,P2 — Haute,P3 — Moyenne,P4 — Basse"</formula1>
    </dataValidation>
    <dataValidation sqref="H17" showDropDown="0" showInputMessage="0" showErrorMessage="0" allowBlank="1" type="list">
      <formula1>"✅ Résolu,🔄 En cours,⏳ À faire,🚫 Abandonné"</formula1>
    </dataValidation>
    <dataValidation sqref="G17" showDropDown="0" showInputMessage="0" showErrorMessage="0" allowBlank="1" type="list">
      <formula1>"🔴 Critique,🟠 Majeure,🟡 Mineure,🟢 Cosmétique"</formula1>
    </dataValidation>
    <dataValidation sqref="F17" showDropDown="0" showInputMessage="0" showErrorMessage="0" allowBlank="1" type="list">
      <formula1>"P1 — Critique,P2 — Haute,P3 — Moyenne,P4 — Basse"</formula1>
    </dataValidation>
    <dataValidation sqref="H17" showDropDown="0" showInputMessage="0" showErrorMessage="0" allowBlank="1" type="list">
      <formula1>"✅ Résolu,🔄 En cours,⏳ À faire,🚫 Abandonné"</formula1>
    </dataValidation>
    <dataValidation sqref="G17" showDropDown="0" showInputMessage="0" showErrorMessage="0" allowBlank="1" type="list">
      <formula1>"🔴 Critique,🟠 Majeure,🟡 Mineure,🟢 Cosmétique"</formula1>
    </dataValidation>
    <dataValidation sqref="F17" showDropDown="0" showInputMessage="0" showErrorMessage="0" allowBlank="1" type="list">
      <formula1>"P1 — Critique,P2 — Haute,P3 — Moyenne,P4 — Basse"</formula1>
    </dataValidation>
    <dataValidation sqref="H17" showDropDown="0" showInputMessage="0" showErrorMessage="0" allowBlank="1" type="list">
      <formula1>"✅ Résolu,🔄 En cours,⏳ À faire,🚫 Abandonné"</formula1>
    </dataValidation>
    <dataValidation sqref="G17" showDropDown="0" showInputMessage="0" showErrorMessage="0" allowBlank="1" type="list">
      <formula1>"🔴 Critique,🟠 Majeure,🟡 Mineure,🟢 Cosmétique"</formula1>
    </dataValidation>
    <dataValidation sqref="F17" showDropDown="0" showInputMessage="0" showErrorMessage="0" allowBlank="1" type="list">
      <formula1>"P1 — Critique,P2 — Haute,P3 — Moyenne,P4 — Basse"</formula1>
    </dataValidation>
    <dataValidation sqref="H17" showDropDown="0" showInputMessage="0" showErrorMessage="0" allowBlank="1" type="list">
      <formula1>"✅ Résolu,🔄 En cours,⏳ À faire,🚫 Abandonné"</formula1>
    </dataValidation>
    <dataValidation sqref="G17" showDropDown="0" showInputMessage="0" showErrorMessage="0" allowBlank="1" type="list">
      <formula1>"🔴 Critique,🟠 Majeure,🟡 Mineure,🟢 Cosmétique"</formula1>
    </dataValidation>
    <dataValidation sqref="F17" showDropDown="0" showInputMessage="0" showErrorMessage="0" allowBlank="1" type="list">
      <formula1>"P1 — Critique,P2 — Haute,P3 — Moyenne,P4 — Basse"</formula1>
    </dataValidation>
    <dataValidation sqref="H17" showDropDown="0" showInputMessage="0" showErrorMessage="0" allowBlank="1" type="list">
      <formula1>"✅ Résolu,🔄 En cours,⏳ À faire,🚫 Abandonné"</formula1>
    </dataValidation>
    <dataValidation sqref="G17" showDropDown="0" showInputMessage="0" showErrorMessage="0" allowBlank="1" type="list">
      <formula1>"🔴 Critique,🟠 Majeure,🟡 Mineure,🟢 Cosmétique"</formula1>
    </dataValidation>
    <dataValidation sqref="F17" showDropDown="0" showInputMessage="0" showErrorMessage="0" allowBlank="1" type="list">
      <formula1>"P1 — Critique,P2 — Haute,P3 — Moyenne,P4 — Basse"</formula1>
    </dataValidation>
    <dataValidation sqref="H17" showDropDown="0" showInputMessage="0" showErrorMessage="0" allowBlank="1" type="list">
      <formula1>"✅ Résolu,🔄 En cours,⏳ À faire,🚫 Abandonné"</formula1>
    </dataValidation>
    <dataValidation sqref="G17" showDropDown="0" showInputMessage="0" showErrorMessage="0" allowBlank="1" type="list">
      <formula1>"🔴 Critique,🟠 Majeure,🟡 Mineure,🟢 Cosmétique"</formula1>
    </dataValidation>
    <dataValidation sqref="F17" showDropDown="0" showInputMessage="0" showErrorMessage="0" allowBlank="1" type="list">
      <formula1>"P1 — Critique,P2 — Haute,P3 — Moyenne,P4 — Basse"</formula1>
    </dataValidation>
    <dataValidation sqref="H17" showDropDown="0" showInputMessage="0" showErrorMessage="0" allowBlank="1" type="list">
      <formula1>"✅ Résolu,🔄 En cours,⏳ À faire,🚫 Abandonné"</formula1>
    </dataValidation>
    <dataValidation sqref="G17" showDropDown="0" showInputMessage="0" showErrorMessage="0" allowBlank="1" type="list">
      <formula1>"🔴 Critique,🟠 Majeure,🟡 Mineure,🟢 Cosmétique"</formula1>
    </dataValidation>
    <dataValidation sqref="F17" showDropDown="0" showInputMessage="0" showErrorMessage="0" allowBlank="1" type="list">
      <formula1>"P1 — Critique,P2 — Haute,P3 — Moyenne,P4 — Basse"</formula1>
    </dataValidation>
    <dataValidation sqref="H17" showDropDown="0" showInputMessage="0" showErrorMessage="0" allowBlank="1" type="list">
      <formula1>"✅ Résolu,🔄 En cours,⏳ À faire,🚫 Abandonné"</formula1>
    </dataValidation>
    <dataValidation sqref="G17" showDropDown="0" showInputMessage="0" showErrorMessage="0" allowBlank="1" type="list">
      <formula1>"🔴 Critique,🟠 Majeure,🟡 Mineure,🟢 Cosmétique"</formula1>
    </dataValidation>
    <dataValidation sqref="F17" showDropDown="0" showInputMessage="0" showErrorMessage="0" allowBlank="1" type="list">
      <formula1>"P1 — Critique,P2 — Haute,P3 — Moyenne,P4 — Basse"</formula1>
    </dataValidation>
    <dataValidation sqref="H18" showDropDown="0" showInputMessage="0" showErrorMessage="0" allowBlank="1" type="list">
      <formula1>"✅ Résolu,🔄 En cours,⏳ À faire,🚫 Abandonné"</formula1>
    </dataValidation>
    <dataValidation sqref="G18" showDropDown="0" showInputMessage="0" showErrorMessage="0" allowBlank="1" type="list">
      <formula1>"🔴 Critique,🟠 Majeure,🟡 Mineure,🟢 Cosmétique"</formula1>
    </dataValidation>
    <dataValidation sqref="F18" showDropDown="0" showInputMessage="0" showErrorMessage="0" allowBlank="1" type="list">
      <formula1>"P1 — Critique,P2 — Haute,P3 — Moyenne,P4 — Basse"</formula1>
    </dataValidation>
    <dataValidation sqref="H18" showDropDown="0" showInputMessage="0" showErrorMessage="0" allowBlank="1" type="list">
      <formula1>"✅ Résolu,🔄 En cours,⏳ À faire,🚫 Abandonné"</formula1>
    </dataValidation>
    <dataValidation sqref="G18" showDropDown="0" showInputMessage="0" showErrorMessage="0" allowBlank="1" type="list">
      <formula1>"🔴 Critique,🟠 Majeure,🟡 Mineure,🟢 Cosmétique"</formula1>
    </dataValidation>
    <dataValidation sqref="F18" showDropDown="0" showInputMessage="0" showErrorMessage="0" allowBlank="1" type="list">
      <formula1>"P1 — Critique,P2 — Haute,P3 — Moyenne,P4 — Basse"</formula1>
    </dataValidation>
    <dataValidation sqref="H18" showDropDown="0" showInputMessage="0" showErrorMessage="0" allowBlank="1" type="list">
      <formula1>"✅ Résolu,🔄 En cours,⏳ À faire,🚫 Abandonné"</formula1>
    </dataValidation>
    <dataValidation sqref="G18" showDropDown="0" showInputMessage="0" showErrorMessage="0" allowBlank="1" type="list">
      <formula1>"🔴 Critique,🟠 Majeure,🟡 Mineure,🟢 Cosmétique"</formula1>
    </dataValidation>
    <dataValidation sqref="F18" showDropDown="0" showInputMessage="0" showErrorMessage="0" allowBlank="1" type="list">
      <formula1>"P1 — Critique,P2 — Haute,P3 — Moyenne,P4 — Basse"</formula1>
    </dataValidation>
    <dataValidation sqref="H18" showDropDown="0" showInputMessage="0" showErrorMessage="0" allowBlank="1" type="list">
      <formula1>"✅ Résolu,🔄 En cours,⏳ À faire,🚫 Abandonné"</formula1>
    </dataValidation>
    <dataValidation sqref="G18" showDropDown="0" showInputMessage="0" showErrorMessage="0" allowBlank="1" type="list">
      <formula1>"🔴 Critique,🟠 Majeure,🟡 Mineure,🟢 Cosmétique"</formula1>
    </dataValidation>
    <dataValidation sqref="F18" showDropDown="0" showInputMessage="0" showErrorMessage="0" allowBlank="1" type="list">
      <formula1>"P1 — Critique,P2 — Haute,P3 — Moyenne,P4 — Basse"</formula1>
    </dataValidation>
    <dataValidation sqref="H18" showDropDown="0" showInputMessage="0" showErrorMessage="0" allowBlank="1" type="list">
      <formula1>"✅ Résolu,🔄 En cours,⏳ À faire,🚫 Abandonné"</formula1>
    </dataValidation>
    <dataValidation sqref="G18" showDropDown="0" showInputMessage="0" showErrorMessage="0" allowBlank="1" type="list">
      <formula1>"🔴 Critique,🟠 Majeure,🟡 Mineure,🟢 Cosmétique"</formula1>
    </dataValidation>
    <dataValidation sqref="F18" showDropDown="0" showInputMessage="0" showErrorMessage="0" allowBlank="1" type="list">
      <formula1>"P1 — Critique,P2 — Haute,P3 — Moyenne,P4 — Basse"</formula1>
    </dataValidation>
    <dataValidation sqref="H18" showDropDown="0" showInputMessage="0" showErrorMessage="0" allowBlank="1" type="list">
      <formula1>"✅ Résolu,🔄 En cours,⏳ À faire,🚫 Abandonné"</formula1>
    </dataValidation>
    <dataValidation sqref="G18" showDropDown="0" showInputMessage="0" showErrorMessage="0" allowBlank="1" type="list">
      <formula1>"🔴 Critique,🟠 Majeure,🟡 Mineure,🟢 Cosmétique"</formula1>
    </dataValidation>
    <dataValidation sqref="F18" showDropDown="0" showInputMessage="0" showErrorMessage="0" allowBlank="1" type="list">
      <formula1>"P1 — Critique,P2 — Haute,P3 — Moyenne,P4 — Basse"</formula1>
    </dataValidation>
    <dataValidation sqref="H18" showDropDown="0" showInputMessage="0" showErrorMessage="0" allowBlank="1" type="list">
      <formula1>"✅ Résolu,🔄 En cours,⏳ À faire,🚫 Abandonné"</formula1>
    </dataValidation>
    <dataValidation sqref="G18" showDropDown="0" showInputMessage="0" showErrorMessage="0" allowBlank="1" type="list">
      <formula1>"🔴 Critique,🟠 Majeure,🟡 Mineure,🟢 Cosmétique"</formula1>
    </dataValidation>
    <dataValidation sqref="F18" showDropDown="0" showInputMessage="0" showErrorMessage="0" allowBlank="1" type="list">
      <formula1>"P1 — Critique,P2 — Haute,P3 — Moyenne,P4 — Basse"</formula1>
    </dataValidation>
    <dataValidation sqref="H18" showDropDown="0" showInputMessage="0" showErrorMessage="0" allowBlank="1" type="list">
      <formula1>"✅ Résolu,🔄 En cours,⏳ À faire,🚫 Abandonné"</formula1>
    </dataValidation>
    <dataValidation sqref="G18" showDropDown="0" showInputMessage="0" showErrorMessage="0" allowBlank="1" type="list">
      <formula1>"🔴 Critique,🟠 Majeure,🟡 Mineure,🟢 Cosmétique"</formula1>
    </dataValidation>
    <dataValidation sqref="F18" showDropDown="0" showInputMessage="0" showErrorMessage="0" allowBlank="1" type="list">
      <formula1>"P1 — Critique,P2 — Haute,P3 — Moyenne,P4 — Basse"</formula1>
    </dataValidation>
    <dataValidation sqref="H18" showDropDown="0" showInputMessage="0" showErrorMessage="0" allowBlank="1" type="list">
      <formula1>"✅ Résolu,🔄 En cours,⏳ À faire,🚫 Abandonné"</formula1>
    </dataValidation>
    <dataValidation sqref="G18" showDropDown="0" showInputMessage="0" showErrorMessage="0" allowBlank="1" type="list">
      <formula1>"🔴 Critique,🟠 Majeure,🟡 Mineure,🟢 Cosmétique"</formula1>
    </dataValidation>
    <dataValidation sqref="F18" showDropDown="0" showInputMessage="0" showErrorMessage="0" allowBlank="1" type="list">
      <formula1>"P1 — Critique,P2 — Haute,P3 — Moyenne,P4 — Basse"</formula1>
    </dataValidation>
    <dataValidation sqref="H18" showDropDown="0" showInputMessage="0" showErrorMessage="0" allowBlank="1" type="list">
      <formula1>"✅ Résolu,🔄 En cours,⏳ À faire,🚫 Abandonné"</formula1>
    </dataValidation>
    <dataValidation sqref="G18" showDropDown="0" showInputMessage="0" showErrorMessage="0" allowBlank="1" type="list">
      <formula1>"🔴 Critique,🟠 Majeure,🟡 Mineure,🟢 Cosmétique"</formula1>
    </dataValidation>
    <dataValidation sqref="F18" showDropDown="0" showInputMessage="0" showErrorMessage="0" allowBlank="1" type="list">
      <formula1>"P1 — Critique,P2 — Haute,P3 — Moyenne,P4 — Basse"</formula1>
    </dataValidation>
    <dataValidation sqref="H18" showDropDown="0" showInputMessage="0" showErrorMessage="0" allowBlank="1" type="list">
      <formula1>"✅ Résolu,🔄 En cours,⏳ À faire,🚫 Abandonné"</formula1>
    </dataValidation>
    <dataValidation sqref="G18" showDropDown="0" showInputMessage="0" showErrorMessage="0" allowBlank="1" type="list">
      <formula1>"🔴 Critique,🟠 Majeure,🟡 Mineure,🟢 Cosmétique"</formula1>
    </dataValidation>
    <dataValidation sqref="F18" showDropDown="0" showInputMessage="0" showErrorMessage="0" allowBlank="1" type="list">
      <formula1>"P1 — Critique,P2 — Haute,P3 — Moyenne,P4 — Basse"</formula1>
    </dataValidation>
    <dataValidation sqref="H18" showDropDown="0" showInputMessage="0" showErrorMessage="0" allowBlank="1" type="list">
      <formula1>"✅ Résolu,🔄 En cours,⏳ À faire,🚫 Abandonné"</formula1>
    </dataValidation>
    <dataValidation sqref="G18" showDropDown="0" showInputMessage="0" showErrorMessage="0" allowBlank="1" type="list">
      <formula1>"🔴 Critique,🟠 Majeure,🟡 Mineure,🟢 Cosmétique"</formula1>
    </dataValidation>
    <dataValidation sqref="F18" showDropDown="0" showInputMessage="0" showErrorMessage="0" allowBlank="1" type="list">
      <formula1>"P1 — Critique,P2 — Haute,P3 — Moyenne,P4 — Basse"</formula1>
    </dataValidation>
    <dataValidation sqref="H19" showDropDown="0" showInputMessage="0" showErrorMessage="0" allowBlank="1" type="list">
      <formula1>"✅ Résolu,🔄 En cours,⏳ À faire,🚫 Abandonné"</formula1>
    </dataValidation>
    <dataValidation sqref="G19" showDropDown="0" showInputMessage="0" showErrorMessage="0" allowBlank="1" type="list">
      <formula1>"🔴 Critique,🟠 Majeure,🟡 Mineure,🟢 Cosmétique"</formula1>
    </dataValidation>
    <dataValidation sqref="F19" showDropDown="0" showInputMessage="0" showErrorMessage="0" allowBlank="1" type="list">
      <formula1>"P1 — Critique,P2 — Haute,P3 — Moyenne,P4 — Basse"</formula1>
    </dataValidation>
    <dataValidation sqref="H19" showDropDown="0" showInputMessage="0" showErrorMessage="0" allowBlank="1" type="list">
      <formula1>"✅ Résolu,🔄 En cours,⏳ À faire,🚫 Abandonné"</formula1>
    </dataValidation>
    <dataValidation sqref="G19" showDropDown="0" showInputMessage="0" showErrorMessage="0" allowBlank="1" type="list">
      <formula1>"🔴 Critique,🟠 Majeure,🟡 Mineure,🟢 Cosmétique"</formula1>
    </dataValidation>
    <dataValidation sqref="F19" showDropDown="0" showInputMessage="0" showErrorMessage="0" allowBlank="1" type="list">
      <formula1>"P1 — Critique,P2 — Haute,P3 — Moyenne,P4 — Basse"</formula1>
    </dataValidation>
    <dataValidation sqref="H19" showDropDown="0" showInputMessage="0" showErrorMessage="0" allowBlank="1" type="list">
      <formula1>"✅ Résolu,🔄 En cours,⏳ À faire,🚫 Abandonné"</formula1>
    </dataValidation>
    <dataValidation sqref="G19" showDropDown="0" showInputMessage="0" showErrorMessage="0" allowBlank="1" type="list">
      <formula1>"🔴 Critique,🟠 Majeure,🟡 Mineure,🟢 Cosmétique"</formula1>
    </dataValidation>
    <dataValidation sqref="F19" showDropDown="0" showInputMessage="0" showErrorMessage="0" allowBlank="1" type="list">
      <formula1>"P1 — Critique,P2 — Haute,P3 — Moyenne,P4 — Basse"</formula1>
    </dataValidation>
    <dataValidation sqref="H19" showDropDown="0" showInputMessage="0" showErrorMessage="0" allowBlank="1" type="list">
      <formula1>"✅ Résolu,🔄 En cours,⏳ À faire,🚫 Abandonné"</formula1>
    </dataValidation>
    <dataValidation sqref="G19" showDropDown="0" showInputMessage="0" showErrorMessage="0" allowBlank="1" type="list">
      <formula1>"🔴 Critique,🟠 Majeure,🟡 Mineure,🟢 Cosmétique"</formula1>
    </dataValidation>
    <dataValidation sqref="F19" showDropDown="0" showInputMessage="0" showErrorMessage="0" allowBlank="1" type="list">
      <formula1>"P1 — Critique,P2 — Haute,P3 — Moyenne,P4 — Basse"</formula1>
    </dataValidation>
    <dataValidation sqref="H19" showDropDown="0" showInputMessage="0" showErrorMessage="0" allowBlank="1" type="list">
      <formula1>"✅ Résolu,🔄 En cours,⏳ À faire,🚫 Abandonné"</formula1>
    </dataValidation>
    <dataValidation sqref="G19" showDropDown="0" showInputMessage="0" showErrorMessage="0" allowBlank="1" type="list">
      <formula1>"🔴 Critique,🟠 Majeure,🟡 Mineure,🟢 Cosmétique"</formula1>
    </dataValidation>
    <dataValidation sqref="F19" showDropDown="0" showInputMessage="0" showErrorMessage="0" allowBlank="1" type="list">
      <formula1>"P1 — Critique,P2 — Haute,P3 — Moyenne,P4 — Basse"</formula1>
    </dataValidation>
    <dataValidation sqref="H19" showDropDown="0" showInputMessage="0" showErrorMessage="0" allowBlank="1" type="list">
      <formula1>"✅ Résolu,🔄 En cours,⏳ À faire,🚫 Abandonné"</formula1>
    </dataValidation>
    <dataValidation sqref="G19" showDropDown="0" showInputMessage="0" showErrorMessage="0" allowBlank="1" type="list">
      <formula1>"🔴 Critique,🟠 Majeure,🟡 Mineure,🟢 Cosmétique"</formula1>
    </dataValidation>
    <dataValidation sqref="F19" showDropDown="0" showInputMessage="0" showErrorMessage="0" allowBlank="1" type="list">
      <formula1>"P1 — Critique,P2 — Haute,P3 — Moyenne,P4 — Basse"</formula1>
    </dataValidation>
    <dataValidation sqref="H19" showDropDown="0" showInputMessage="0" showErrorMessage="0" allowBlank="1" type="list">
      <formula1>"✅ Résolu,🔄 En cours,⏳ À faire,🚫 Abandonné"</formula1>
    </dataValidation>
    <dataValidation sqref="G19" showDropDown="0" showInputMessage="0" showErrorMessage="0" allowBlank="1" type="list">
      <formula1>"🔴 Critique,🟠 Majeure,🟡 Mineure,🟢 Cosmétique"</formula1>
    </dataValidation>
    <dataValidation sqref="F19" showDropDown="0" showInputMessage="0" showErrorMessage="0" allowBlank="1" type="list">
      <formula1>"P1 — Critique,P2 — Haute,P3 — Moyenne,P4 — Basse"</formula1>
    </dataValidation>
    <dataValidation sqref="H19" showDropDown="0" showInputMessage="0" showErrorMessage="0" allowBlank="1" type="list">
      <formula1>"✅ Résolu,🔄 En cours,⏳ À faire,🚫 Abandonné"</formula1>
    </dataValidation>
    <dataValidation sqref="G19" showDropDown="0" showInputMessage="0" showErrorMessage="0" allowBlank="1" type="list">
      <formula1>"🔴 Critique,🟠 Majeure,🟡 Mineure,🟢 Cosmétique"</formula1>
    </dataValidation>
    <dataValidation sqref="F19" showDropDown="0" showInputMessage="0" showErrorMessage="0" allowBlank="1" type="list">
      <formula1>"P1 — Critique,P2 — Haute,P3 — Moyenne,P4 — Basse"</formula1>
    </dataValidation>
    <dataValidation sqref="H19" showDropDown="0" showInputMessage="0" showErrorMessage="0" allowBlank="1" type="list">
      <formula1>"✅ Résolu,🔄 En cours,⏳ À faire,🚫 Abandonné"</formula1>
    </dataValidation>
    <dataValidation sqref="G19" showDropDown="0" showInputMessage="0" showErrorMessage="0" allowBlank="1" type="list">
      <formula1>"🔴 Critique,🟠 Majeure,🟡 Mineure,🟢 Cosmétique"</formula1>
    </dataValidation>
    <dataValidation sqref="F19" showDropDown="0" showInputMessage="0" showErrorMessage="0" allowBlank="1" type="list">
      <formula1>"P1 — Critique,P2 — Haute,P3 — Moyenne,P4 — Basse"</formula1>
    </dataValidation>
    <dataValidation sqref="H19" showDropDown="0" showInputMessage="0" showErrorMessage="0" allowBlank="1" type="list">
      <formula1>"✅ Résolu,🔄 En cours,⏳ À faire,🚫 Abandonné"</formula1>
    </dataValidation>
    <dataValidation sqref="G19" showDropDown="0" showInputMessage="0" showErrorMessage="0" allowBlank="1" type="list">
      <formula1>"🔴 Critique,🟠 Majeure,🟡 Mineure,🟢 Cosmétique"</formula1>
    </dataValidation>
    <dataValidation sqref="F19" showDropDown="0" showInputMessage="0" showErrorMessage="0" allowBlank="1" type="list">
      <formula1>"P1 — Critique,P2 — Haute,P3 — Moyenne,P4 — Basse"</formula1>
    </dataValidation>
    <dataValidation sqref="H19" showDropDown="0" showInputMessage="0" showErrorMessage="0" allowBlank="1" type="list">
      <formula1>"✅ Résolu,🔄 En cours,⏳ À faire,🚫 Abandonné"</formula1>
    </dataValidation>
    <dataValidation sqref="G19" showDropDown="0" showInputMessage="0" showErrorMessage="0" allowBlank="1" type="list">
      <formula1>"🔴 Critique,🟠 Majeure,🟡 Mineure,🟢 Cosmétique"</formula1>
    </dataValidation>
    <dataValidation sqref="F19" showDropDown="0" showInputMessage="0" showErrorMessage="0" allowBlank="1" type="list">
      <formula1>"P1 — Critique,P2 — Haute,P3 — Moyenne,P4 — Basse"</formula1>
    </dataValidation>
    <dataValidation sqref="H19" showDropDown="0" showInputMessage="0" showErrorMessage="0" allowBlank="1" type="list">
      <formula1>"✅ Résolu,🔄 En cours,⏳ À faire,🚫 Abandonné"</formula1>
    </dataValidation>
    <dataValidation sqref="G19" showDropDown="0" showInputMessage="0" showErrorMessage="0" allowBlank="1" type="list">
      <formula1>"🔴 Critique,🟠 Majeure,🟡 Mineure,🟢 Cosmétique"</formula1>
    </dataValidation>
    <dataValidation sqref="F19" showDropDown="0" showInputMessage="0" showErrorMessage="0" allowBlank="1" type="list">
      <formula1>"P1 — Critique,P2 — Haute,P3 — Moyenne,P4 — Basse"</formula1>
    </dataValidation>
    <dataValidation sqref="H20" showDropDown="0" showInputMessage="0" showErrorMessage="0" allowBlank="1" type="list">
      <formula1>"✅ Résolu,🔄 En cours,⏳ À faire,🚫 Abandonné"</formula1>
    </dataValidation>
    <dataValidation sqref="G20" showDropDown="0" showInputMessage="0" showErrorMessage="0" allowBlank="1" type="list">
      <formula1>"🔴 Critique,🟠 Majeure,🟡 Mineure,🟢 Cosmétique"</formula1>
    </dataValidation>
    <dataValidation sqref="F20" showDropDown="0" showInputMessage="0" showErrorMessage="0" allowBlank="1" type="list">
      <formula1>"P1 — Critique,P2 — Haute,P3 — Moyenne,P4 — Basse"</formula1>
    </dataValidation>
    <dataValidation sqref="H20" showDropDown="0" showInputMessage="0" showErrorMessage="0" allowBlank="1" type="list">
      <formula1>"✅ Résolu,🔄 En cours,⏳ À faire,🚫 Abandonné"</formula1>
    </dataValidation>
    <dataValidation sqref="G20" showDropDown="0" showInputMessage="0" showErrorMessage="0" allowBlank="1" type="list">
      <formula1>"🔴 Critique,🟠 Majeure,🟡 Mineure,🟢 Cosmétique"</formula1>
    </dataValidation>
    <dataValidation sqref="F20" showDropDown="0" showInputMessage="0" showErrorMessage="0" allowBlank="1" type="list">
      <formula1>"P1 — Critique,P2 — Haute,P3 — Moyenne,P4 — Basse"</formula1>
    </dataValidation>
    <dataValidation sqref="H20" showDropDown="0" showInputMessage="0" showErrorMessage="0" allowBlank="1" type="list">
      <formula1>"✅ Résolu,🔄 En cours,⏳ À faire,🚫 Abandonné"</formula1>
    </dataValidation>
    <dataValidation sqref="G20" showDropDown="0" showInputMessage="0" showErrorMessage="0" allowBlank="1" type="list">
      <formula1>"🔴 Critique,🟠 Majeure,🟡 Mineure,🟢 Cosmétique"</formula1>
    </dataValidation>
    <dataValidation sqref="F20" showDropDown="0" showInputMessage="0" showErrorMessage="0" allowBlank="1" type="list">
      <formula1>"P1 — Critique,P2 — Haute,P3 — Moyenne,P4 — Basse"</formula1>
    </dataValidation>
    <dataValidation sqref="H20" showDropDown="0" showInputMessage="0" showErrorMessage="0" allowBlank="1" type="list">
      <formula1>"✅ Résolu,🔄 En cours,⏳ À faire,🚫 Abandonné"</formula1>
    </dataValidation>
    <dataValidation sqref="G20" showDropDown="0" showInputMessage="0" showErrorMessage="0" allowBlank="1" type="list">
      <formula1>"🔴 Critique,🟠 Majeure,🟡 Mineure,🟢 Cosmétique"</formula1>
    </dataValidation>
    <dataValidation sqref="F20" showDropDown="0" showInputMessage="0" showErrorMessage="0" allowBlank="1" type="list">
      <formula1>"P1 — Critique,P2 — Haute,P3 — Moyenne,P4 — Basse"</formula1>
    </dataValidation>
    <dataValidation sqref="H20" showDropDown="0" showInputMessage="0" showErrorMessage="0" allowBlank="1" type="list">
      <formula1>"✅ Résolu,🔄 En cours,⏳ À faire,🚫 Abandonné"</formula1>
    </dataValidation>
    <dataValidation sqref="G20" showDropDown="0" showInputMessage="0" showErrorMessage="0" allowBlank="1" type="list">
      <formula1>"🔴 Critique,🟠 Majeure,🟡 Mineure,🟢 Cosmétique"</formula1>
    </dataValidation>
    <dataValidation sqref="F20" showDropDown="0" showInputMessage="0" showErrorMessage="0" allowBlank="1" type="list">
      <formula1>"P1 — Critique,P2 — Haute,P3 — Moyenne,P4 — Basse"</formula1>
    </dataValidation>
    <dataValidation sqref="H20" showDropDown="0" showInputMessage="0" showErrorMessage="0" allowBlank="1" type="list">
      <formula1>"✅ Résolu,🔄 En cours,⏳ À faire,🚫 Abandonné"</formula1>
    </dataValidation>
    <dataValidation sqref="G20" showDropDown="0" showInputMessage="0" showErrorMessage="0" allowBlank="1" type="list">
      <formula1>"🔴 Critique,🟠 Majeure,🟡 Mineure,🟢 Cosmétique"</formula1>
    </dataValidation>
    <dataValidation sqref="F20" showDropDown="0" showInputMessage="0" showErrorMessage="0" allowBlank="1" type="list">
      <formula1>"P1 — Critique,P2 — Haute,P3 — Moyenne,P4 — Basse"</formula1>
    </dataValidation>
    <dataValidation sqref="H20" showDropDown="0" showInputMessage="0" showErrorMessage="0" allowBlank="1" type="list">
      <formula1>"✅ Résolu,🔄 En cours,⏳ À faire,🚫 Abandonné"</formula1>
    </dataValidation>
    <dataValidation sqref="G20" showDropDown="0" showInputMessage="0" showErrorMessage="0" allowBlank="1" type="list">
      <formula1>"🔴 Critique,🟠 Majeure,🟡 Mineure,🟢 Cosmétique"</formula1>
    </dataValidation>
    <dataValidation sqref="F20" showDropDown="0" showInputMessage="0" showErrorMessage="0" allowBlank="1" type="list">
      <formula1>"P1 — Critique,P2 — Haute,P3 — Moyenne,P4 — Basse"</formula1>
    </dataValidation>
    <dataValidation sqref="H20" showDropDown="0" showInputMessage="0" showErrorMessage="0" allowBlank="1" type="list">
      <formula1>"✅ Résolu,🔄 En cours,⏳ À faire,🚫 Abandonné"</formula1>
    </dataValidation>
    <dataValidation sqref="G20" showDropDown="0" showInputMessage="0" showErrorMessage="0" allowBlank="1" type="list">
      <formula1>"🔴 Critique,🟠 Majeure,🟡 Mineure,🟢 Cosmétique"</formula1>
    </dataValidation>
    <dataValidation sqref="F20" showDropDown="0" showInputMessage="0" showErrorMessage="0" allowBlank="1" type="list">
      <formula1>"P1 — Critique,P2 — Haute,P3 — Moyenne,P4 — Basse"</formula1>
    </dataValidation>
    <dataValidation sqref="H20" showDropDown="0" showInputMessage="0" showErrorMessage="0" allowBlank="1" type="list">
      <formula1>"✅ Résolu,🔄 En cours,⏳ À faire,🚫 Abandonné"</formula1>
    </dataValidation>
    <dataValidation sqref="G20" showDropDown="0" showInputMessage="0" showErrorMessage="0" allowBlank="1" type="list">
      <formula1>"🔴 Critique,🟠 Majeure,🟡 Mineure,🟢 Cosmétique"</formula1>
    </dataValidation>
    <dataValidation sqref="F20" showDropDown="0" showInputMessage="0" showErrorMessage="0" allowBlank="1" type="list">
      <formula1>"P1 — Critique,P2 — Haute,P3 — Moyenne,P4 — Basse"</formula1>
    </dataValidation>
    <dataValidation sqref="H20" showDropDown="0" showInputMessage="0" showErrorMessage="0" allowBlank="1" type="list">
      <formula1>"✅ Résolu,🔄 En cours,⏳ À faire,🚫 Abandonné"</formula1>
    </dataValidation>
    <dataValidation sqref="G20" showDropDown="0" showInputMessage="0" showErrorMessage="0" allowBlank="1" type="list">
      <formula1>"🔴 Critique,🟠 Majeure,🟡 Mineure,🟢 Cosmétique"</formula1>
    </dataValidation>
    <dataValidation sqref="F20" showDropDown="0" showInputMessage="0" showErrorMessage="0" allowBlank="1" type="list">
      <formula1>"P1 — Critique,P2 — Haute,P3 — Moyenne,P4 — Basse"</formula1>
    </dataValidation>
    <dataValidation sqref="H20" showDropDown="0" showInputMessage="0" showErrorMessage="0" allowBlank="1" type="list">
      <formula1>"✅ Résolu,🔄 En cours,⏳ À faire,🚫 Abandonné"</formula1>
    </dataValidation>
    <dataValidation sqref="G20" showDropDown="0" showInputMessage="0" showErrorMessage="0" allowBlank="1" type="list">
      <formula1>"🔴 Critique,🟠 Majeure,🟡 Mineure,🟢 Cosmétique"</formula1>
    </dataValidation>
    <dataValidation sqref="F20" showDropDown="0" showInputMessage="0" showErrorMessage="0" allowBlank="1" type="list">
      <formula1>"P1 — Critique,P2 — Haute,P3 — Moyenne,P4 — Basse"</formula1>
    </dataValidation>
    <dataValidation sqref="H20" showDropDown="0" showInputMessage="0" showErrorMessage="0" allowBlank="1" type="list">
      <formula1>"✅ Résolu,🔄 En cours,⏳ À faire,🚫 Abandonné"</formula1>
    </dataValidation>
    <dataValidation sqref="G20" showDropDown="0" showInputMessage="0" showErrorMessage="0" allowBlank="1" type="list">
      <formula1>"🔴 Critique,🟠 Majeure,🟡 Mineure,🟢 Cosmétique"</formula1>
    </dataValidation>
    <dataValidation sqref="F20" showDropDown="0" showInputMessage="0" showErrorMessage="0" allowBlank="1" type="list">
      <formula1>"P1 — Critique,P2 — Haute,P3 — Moyenne,P4 — Basse"</formula1>
    </dataValidation>
    <dataValidation sqref="H21" showDropDown="0" showInputMessage="0" showErrorMessage="0" allowBlank="1" type="list">
      <formula1>"✅ Résolu,🔄 En cours,⏳ À faire,🚫 Abandonné"</formula1>
    </dataValidation>
    <dataValidation sqref="G21" showDropDown="0" showInputMessage="0" showErrorMessage="0" allowBlank="1" type="list">
      <formula1>"🔴 Critique,🟠 Majeure,🟡 Mineure,🟢 Cosmétique"</formula1>
    </dataValidation>
    <dataValidation sqref="F21" showDropDown="0" showInputMessage="0" showErrorMessage="0" allowBlank="1" type="list">
      <formula1>"P1 — Critique,P2 — Haute,P3 — Moyenne,P4 — Basse"</formula1>
    </dataValidation>
    <dataValidation sqref="H21" showDropDown="0" showInputMessage="0" showErrorMessage="0" allowBlank="1" type="list">
      <formula1>"✅ Résolu,🔄 En cours,⏳ À faire,🚫 Abandonné"</formula1>
    </dataValidation>
    <dataValidation sqref="G21" showDropDown="0" showInputMessage="0" showErrorMessage="0" allowBlank="1" type="list">
      <formula1>"🔴 Critique,🟠 Majeure,🟡 Mineure,🟢 Cosmétique"</formula1>
    </dataValidation>
    <dataValidation sqref="F21" showDropDown="0" showInputMessage="0" showErrorMessage="0" allowBlank="1" type="list">
      <formula1>"P1 — Critique,P2 — Haute,P3 — Moyenne,P4 — Basse"</formula1>
    </dataValidation>
    <dataValidation sqref="H21" showDropDown="0" showInputMessage="0" showErrorMessage="0" allowBlank="1" type="list">
      <formula1>"✅ Résolu,🔄 En cours,⏳ À faire,🚫 Abandonné"</formula1>
    </dataValidation>
    <dataValidation sqref="G21" showDropDown="0" showInputMessage="0" showErrorMessage="0" allowBlank="1" type="list">
      <formula1>"🔴 Critique,🟠 Majeure,🟡 Mineure,🟢 Cosmétique"</formula1>
    </dataValidation>
    <dataValidation sqref="F21" showDropDown="0" showInputMessage="0" showErrorMessage="0" allowBlank="1" type="list">
      <formula1>"P1 — Critique,P2 — Haute,P3 — Moyenne,P4 — Basse"</formula1>
    </dataValidation>
    <dataValidation sqref="H21" showDropDown="0" showInputMessage="0" showErrorMessage="0" allowBlank="1" type="list">
      <formula1>"✅ Résolu,🔄 En cours,⏳ À faire,🚫 Abandonné"</formula1>
    </dataValidation>
    <dataValidation sqref="G21" showDropDown="0" showInputMessage="0" showErrorMessage="0" allowBlank="1" type="list">
      <formula1>"🔴 Critique,🟠 Majeure,🟡 Mineure,🟢 Cosmétique"</formula1>
    </dataValidation>
    <dataValidation sqref="F21" showDropDown="0" showInputMessage="0" showErrorMessage="0" allowBlank="1" type="list">
      <formula1>"P1 — Critique,P2 — Haute,P3 — Moyenne,P4 — Basse"</formula1>
    </dataValidation>
    <dataValidation sqref="H21" showDropDown="0" showInputMessage="0" showErrorMessage="0" allowBlank="1" type="list">
      <formula1>"✅ Résolu,🔄 En cours,⏳ À faire,🚫 Abandonné"</formula1>
    </dataValidation>
    <dataValidation sqref="G21" showDropDown="0" showInputMessage="0" showErrorMessage="0" allowBlank="1" type="list">
      <formula1>"🔴 Critique,🟠 Majeure,🟡 Mineure,🟢 Cosmétique"</formula1>
    </dataValidation>
    <dataValidation sqref="F21" showDropDown="0" showInputMessage="0" showErrorMessage="0" allowBlank="1" type="list">
      <formula1>"P1 — Critique,P2 — Haute,P3 — Moyenne,P4 — Basse"</formula1>
    </dataValidation>
    <dataValidation sqref="H21" showDropDown="0" showInputMessage="0" showErrorMessage="0" allowBlank="1" type="list">
      <formula1>"✅ Résolu,🔄 En cours,⏳ À faire,🚫 Abandonné"</formula1>
    </dataValidation>
    <dataValidation sqref="G21" showDropDown="0" showInputMessage="0" showErrorMessage="0" allowBlank="1" type="list">
      <formula1>"🔴 Critique,🟠 Majeure,🟡 Mineure,🟢 Cosmétique"</formula1>
    </dataValidation>
    <dataValidation sqref="F21" showDropDown="0" showInputMessage="0" showErrorMessage="0" allowBlank="1" type="list">
      <formula1>"P1 — Critique,P2 — Haute,P3 — Moyenne,P4 — Basse"</formula1>
    </dataValidation>
    <dataValidation sqref="H21" showDropDown="0" showInputMessage="0" showErrorMessage="0" allowBlank="1" type="list">
      <formula1>"✅ Résolu,🔄 En cours,⏳ À faire,🚫 Abandonné"</formula1>
    </dataValidation>
    <dataValidation sqref="G21" showDropDown="0" showInputMessage="0" showErrorMessage="0" allowBlank="1" type="list">
      <formula1>"🔴 Critique,🟠 Majeure,🟡 Mineure,🟢 Cosmétique"</formula1>
    </dataValidation>
    <dataValidation sqref="F21" showDropDown="0" showInputMessage="0" showErrorMessage="0" allowBlank="1" type="list">
      <formula1>"P1 — Critique,P2 — Haute,P3 — Moyenne,P4 — Basse"</formula1>
    </dataValidation>
    <dataValidation sqref="H21" showDropDown="0" showInputMessage="0" showErrorMessage="0" allowBlank="1" type="list">
      <formula1>"✅ Résolu,🔄 En cours,⏳ À faire,🚫 Abandonné"</formula1>
    </dataValidation>
    <dataValidation sqref="G21" showDropDown="0" showInputMessage="0" showErrorMessage="0" allowBlank="1" type="list">
      <formula1>"🔴 Critique,🟠 Majeure,🟡 Mineure,🟢 Cosmétique"</formula1>
    </dataValidation>
    <dataValidation sqref="F21" showDropDown="0" showInputMessage="0" showErrorMessage="0" allowBlank="1" type="list">
      <formula1>"P1 — Critique,P2 — Haute,P3 — Moyenne,P4 — Basse"</formula1>
    </dataValidation>
    <dataValidation sqref="H21" showDropDown="0" showInputMessage="0" showErrorMessage="0" allowBlank="1" type="list">
      <formula1>"✅ Résolu,🔄 En cours,⏳ À faire,🚫 Abandonné"</formula1>
    </dataValidation>
    <dataValidation sqref="G21" showDropDown="0" showInputMessage="0" showErrorMessage="0" allowBlank="1" type="list">
      <formula1>"🔴 Critique,🟠 Majeure,🟡 Mineure,🟢 Cosmétique"</formula1>
    </dataValidation>
    <dataValidation sqref="F21" showDropDown="0" showInputMessage="0" showErrorMessage="0" allowBlank="1" type="list">
      <formula1>"P1 — Critique,P2 — Haute,P3 — Moyenne,P4 — Basse"</formula1>
    </dataValidation>
    <dataValidation sqref="H21" showDropDown="0" showInputMessage="0" showErrorMessage="0" allowBlank="1" type="list">
      <formula1>"✅ Résolu,🔄 En cours,⏳ À faire,🚫 Abandonné"</formula1>
    </dataValidation>
    <dataValidation sqref="G21" showDropDown="0" showInputMessage="0" showErrorMessage="0" allowBlank="1" type="list">
      <formula1>"🔴 Critique,🟠 Majeure,🟡 Mineure,🟢 Cosmétique"</formula1>
    </dataValidation>
    <dataValidation sqref="F21" showDropDown="0" showInputMessage="0" showErrorMessage="0" allowBlank="1" type="list">
      <formula1>"P1 — Critique,P2 — Haute,P3 — Moyenne,P4 — Basse"</formula1>
    </dataValidation>
    <dataValidation sqref="H21" showDropDown="0" showInputMessage="0" showErrorMessage="0" allowBlank="1" type="list">
      <formula1>"✅ Résolu,🔄 En cours,⏳ À faire,🚫 Abandonné"</formula1>
    </dataValidation>
    <dataValidation sqref="G21" showDropDown="0" showInputMessage="0" showErrorMessage="0" allowBlank="1" type="list">
      <formula1>"🔴 Critique,🟠 Majeure,🟡 Mineure,🟢 Cosmétique"</formula1>
    </dataValidation>
    <dataValidation sqref="F21" showDropDown="0" showInputMessage="0" showErrorMessage="0" allowBlank="1" type="list">
      <formula1>"P1 — Critique,P2 — Haute,P3 — Moyenne,P4 — Basse"</formula1>
    </dataValidation>
    <dataValidation sqref="H21" showDropDown="0" showInputMessage="0" showErrorMessage="0" allowBlank="1" type="list">
      <formula1>"✅ Résolu,🔄 En cours,⏳ À faire,🚫 Abandonné"</formula1>
    </dataValidation>
    <dataValidation sqref="G21" showDropDown="0" showInputMessage="0" showErrorMessage="0" allowBlank="1" type="list">
      <formula1>"🔴 Critique,🟠 Majeure,🟡 Mineure,🟢 Cosmétique"</formula1>
    </dataValidation>
    <dataValidation sqref="F21" showDropDown="0" showInputMessage="0" showErrorMessage="0" allowBlank="1" type="list">
      <formula1>"P1 — Critique,P2 — Haute,P3 — Moyenne,P4 — Basse"</formula1>
    </dataValidation>
    <dataValidation sqref="H22" showDropDown="0" showInputMessage="0" showErrorMessage="0" allowBlank="1" type="list">
      <formula1>"✅ Résolu,🔄 En cours,⏳ À faire,🚫 Abandonné"</formula1>
    </dataValidation>
    <dataValidation sqref="G22" showDropDown="0" showInputMessage="0" showErrorMessage="0" allowBlank="1" type="list">
      <formula1>"🔴 Critique,🟠 Majeure,🟡 Mineure,🟢 Cosmétique"</formula1>
    </dataValidation>
    <dataValidation sqref="F22" showDropDown="0" showInputMessage="0" showErrorMessage="0" allowBlank="1" type="list">
      <formula1>"P1 — Critique,P2 — Haute,P3 — Moyenne,P4 — Basse"</formula1>
    </dataValidation>
    <dataValidation sqref="H22" showDropDown="0" showInputMessage="0" showErrorMessage="0" allowBlank="1" type="list">
      <formula1>"✅ Résolu,🔄 En cours,⏳ À faire,🚫 Abandonné"</formula1>
    </dataValidation>
    <dataValidation sqref="G22" showDropDown="0" showInputMessage="0" showErrorMessage="0" allowBlank="1" type="list">
      <formula1>"🔴 Critique,🟠 Majeure,🟡 Mineure,🟢 Cosmétique"</formula1>
    </dataValidation>
    <dataValidation sqref="F22" showDropDown="0" showInputMessage="0" showErrorMessage="0" allowBlank="1" type="list">
      <formula1>"P1 — Critique,P2 — Haute,P3 — Moyenne,P4 — Basse"</formula1>
    </dataValidation>
    <dataValidation sqref="H22" showDropDown="0" showInputMessage="0" showErrorMessage="0" allowBlank="1" type="list">
      <formula1>"✅ Résolu,🔄 En cours,⏳ À faire,🚫 Abandonné"</formula1>
    </dataValidation>
    <dataValidation sqref="G22" showDropDown="0" showInputMessage="0" showErrorMessage="0" allowBlank="1" type="list">
      <formula1>"🔴 Critique,🟠 Majeure,🟡 Mineure,🟢 Cosmétique"</formula1>
    </dataValidation>
    <dataValidation sqref="F22" showDropDown="0" showInputMessage="0" showErrorMessage="0" allowBlank="1" type="list">
      <formula1>"P1 — Critique,P2 — Haute,P3 — Moyenne,P4 — Basse"</formula1>
    </dataValidation>
    <dataValidation sqref="H22" showDropDown="0" showInputMessage="0" showErrorMessage="0" allowBlank="1" type="list">
      <formula1>"✅ Résolu,🔄 En cours,⏳ À faire,🚫 Abandonné"</formula1>
    </dataValidation>
    <dataValidation sqref="G22" showDropDown="0" showInputMessage="0" showErrorMessage="0" allowBlank="1" type="list">
      <formula1>"🔴 Critique,🟠 Majeure,🟡 Mineure,🟢 Cosmétique"</formula1>
    </dataValidation>
    <dataValidation sqref="F22" showDropDown="0" showInputMessage="0" showErrorMessage="0" allowBlank="1" type="list">
      <formula1>"P1 — Critique,P2 — Haute,P3 — Moyenne,P4 — Basse"</formula1>
    </dataValidation>
    <dataValidation sqref="H22" showDropDown="0" showInputMessage="0" showErrorMessage="0" allowBlank="1" type="list">
      <formula1>"✅ Résolu,🔄 En cours,⏳ À faire,🚫 Abandonné"</formula1>
    </dataValidation>
    <dataValidation sqref="G22" showDropDown="0" showInputMessage="0" showErrorMessage="0" allowBlank="1" type="list">
      <formula1>"🔴 Critique,🟠 Majeure,🟡 Mineure,🟢 Cosmétique"</formula1>
    </dataValidation>
    <dataValidation sqref="F22" showDropDown="0" showInputMessage="0" showErrorMessage="0" allowBlank="1" type="list">
      <formula1>"P1 — Critique,P2 — Haute,P3 — Moyenne,P4 — Basse"</formula1>
    </dataValidation>
    <dataValidation sqref="H22" showDropDown="0" showInputMessage="0" showErrorMessage="0" allowBlank="1" type="list">
      <formula1>"✅ Résolu,🔄 En cours,⏳ À faire,🚫 Abandonné"</formula1>
    </dataValidation>
    <dataValidation sqref="G22" showDropDown="0" showInputMessage="0" showErrorMessage="0" allowBlank="1" type="list">
      <formula1>"🔴 Critique,🟠 Majeure,🟡 Mineure,🟢 Cosmétique"</formula1>
    </dataValidation>
    <dataValidation sqref="F22" showDropDown="0" showInputMessage="0" showErrorMessage="0" allowBlank="1" type="list">
      <formula1>"P1 — Critique,P2 — Haute,P3 — Moyenne,P4 — Basse"</formula1>
    </dataValidation>
    <dataValidation sqref="H22" showDropDown="0" showInputMessage="0" showErrorMessage="0" allowBlank="1" type="list">
      <formula1>"✅ Résolu,🔄 En cours,⏳ À faire,🚫 Abandonné"</formula1>
    </dataValidation>
    <dataValidation sqref="G22" showDropDown="0" showInputMessage="0" showErrorMessage="0" allowBlank="1" type="list">
      <formula1>"🔴 Critique,🟠 Majeure,🟡 Mineure,🟢 Cosmétique"</formula1>
    </dataValidation>
    <dataValidation sqref="F22" showDropDown="0" showInputMessage="0" showErrorMessage="0" allowBlank="1" type="list">
      <formula1>"P1 — Critique,P2 — Haute,P3 — Moyenne,P4 — Basse"</formula1>
    </dataValidation>
    <dataValidation sqref="H22" showDropDown="0" showInputMessage="0" showErrorMessage="0" allowBlank="1" type="list">
      <formula1>"✅ Résolu,🔄 En cours,⏳ À faire,🚫 Abandonné"</formula1>
    </dataValidation>
    <dataValidation sqref="G22" showDropDown="0" showInputMessage="0" showErrorMessage="0" allowBlank="1" type="list">
      <formula1>"🔴 Critique,🟠 Majeure,🟡 Mineure,🟢 Cosmétique"</formula1>
    </dataValidation>
    <dataValidation sqref="F22" showDropDown="0" showInputMessage="0" showErrorMessage="0" allowBlank="1" type="list">
      <formula1>"P1 — Critique,P2 — Haute,P3 — Moyenne,P4 — Basse"</formula1>
    </dataValidation>
    <dataValidation sqref="H22" showDropDown="0" showInputMessage="0" showErrorMessage="0" allowBlank="1" type="list">
      <formula1>"✅ Résolu,🔄 En cours,⏳ À faire,🚫 Abandonné"</formula1>
    </dataValidation>
    <dataValidation sqref="G22" showDropDown="0" showInputMessage="0" showErrorMessage="0" allowBlank="1" type="list">
      <formula1>"🔴 Critique,🟠 Majeure,🟡 Mineure,🟢 Cosmétique"</formula1>
    </dataValidation>
    <dataValidation sqref="F22" showDropDown="0" showInputMessage="0" showErrorMessage="0" allowBlank="1" type="list">
      <formula1>"P1 — Critique,P2 — Haute,P3 — Moyenne,P4 — Basse"</formula1>
    </dataValidation>
    <dataValidation sqref="H22" showDropDown="0" showInputMessage="0" showErrorMessage="0" allowBlank="1" type="list">
      <formula1>"✅ Résolu,🔄 En cours,⏳ À faire,🚫 Abandonné"</formula1>
    </dataValidation>
    <dataValidation sqref="G22" showDropDown="0" showInputMessage="0" showErrorMessage="0" allowBlank="1" type="list">
      <formula1>"🔴 Critique,🟠 Majeure,🟡 Mineure,🟢 Cosmétique"</formula1>
    </dataValidation>
    <dataValidation sqref="F22" showDropDown="0" showInputMessage="0" showErrorMessage="0" allowBlank="1" type="list">
      <formula1>"P1 — Critique,P2 — Haute,P3 — Moyenne,P4 — Basse"</formula1>
    </dataValidation>
    <dataValidation sqref="H22" showDropDown="0" showInputMessage="0" showErrorMessage="0" allowBlank="1" type="list">
      <formula1>"✅ Résolu,🔄 En cours,⏳ À faire,🚫 Abandonné"</formula1>
    </dataValidation>
    <dataValidation sqref="G22" showDropDown="0" showInputMessage="0" showErrorMessage="0" allowBlank="1" type="list">
      <formula1>"🔴 Critique,🟠 Majeure,🟡 Mineure,🟢 Cosmétique"</formula1>
    </dataValidation>
    <dataValidation sqref="F22" showDropDown="0" showInputMessage="0" showErrorMessage="0" allowBlank="1" type="list">
      <formula1>"P1 — Critique,P2 — Haute,P3 — Moyenne,P4 — Basse"</formula1>
    </dataValidation>
    <dataValidation sqref="H22" showDropDown="0" showInputMessage="0" showErrorMessage="0" allowBlank="1" type="list">
      <formula1>"✅ Résolu,🔄 En cours,⏳ À faire,🚫 Abandonné"</formula1>
    </dataValidation>
    <dataValidation sqref="G22" showDropDown="0" showInputMessage="0" showErrorMessage="0" allowBlank="1" type="list">
      <formula1>"🔴 Critique,🟠 Majeure,🟡 Mineure,🟢 Cosmétique"</formula1>
    </dataValidation>
    <dataValidation sqref="F22" showDropDown="0" showInputMessage="0" showErrorMessage="0" allowBlank="1" type="list">
      <formula1>"P1 — Critique,P2 — Haute,P3 — Moyenne,P4 — Basse"</formula1>
    </dataValidation>
    <dataValidation sqref="H23" showDropDown="0" showInputMessage="0" showErrorMessage="0" allowBlank="1" type="list">
      <formula1>"✅ Résolu,🔄 En cours,⏳ À faire,🚫 Abandonné"</formula1>
    </dataValidation>
    <dataValidation sqref="G23" showDropDown="0" showInputMessage="0" showErrorMessage="0" allowBlank="1" type="list">
      <formula1>"🔴 Critique,🟠 Majeure,🟡 Mineure,🟢 Cosmétique"</formula1>
    </dataValidation>
    <dataValidation sqref="F23" showDropDown="0" showInputMessage="0" showErrorMessage="0" allowBlank="1" type="list">
      <formula1>"P1 — Critique,P2 — Haute,P3 — Moyenne,P4 — Basse"</formula1>
    </dataValidation>
    <dataValidation sqref="H23" showDropDown="0" showInputMessage="0" showErrorMessage="0" allowBlank="1" type="list">
      <formula1>"✅ Résolu,🔄 En cours,⏳ À faire,🚫 Abandonné"</formula1>
    </dataValidation>
    <dataValidation sqref="G23" showDropDown="0" showInputMessage="0" showErrorMessage="0" allowBlank="1" type="list">
      <formula1>"🔴 Critique,🟠 Majeure,🟡 Mineure,🟢 Cosmétique"</formula1>
    </dataValidation>
    <dataValidation sqref="F23" showDropDown="0" showInputMessage="0" showErrorMessage="0" allowBlank="1" type="list">
      <formula1>"P1 — Critique,P2 — Haute,P3 — Moyenne,P4 — Basse"</formula1>
    </dataValidation>
    <dataValidation sqref="H23" showDropDown="0" showInputMessage="0" showErrorMessage="0" allowBlank="1" type="list">
      <formula1>"✅ Résolu,🔄 En cours,⏳ À faire,🚫 Abandonné"</formula1>
    </dataValidation>
    <dataValidation sqref="G23" showDropDown="0" showInputMessage="0" showErrorMessage="0" allowBlank="1" type="list">
      <formula1>"🔴 Critique,🟠 Majeure,🟡 Mineure,🟢 Cosmétique"</formula1>
    </dataValidation>
    <dataValidation sqref="F23" showDropDown="0" showInputMessage="0" showErrorMessage="0" allowBlank="1" type="list">
      <formula1>"P1 — Critique,P2 — Haute,P3 — Moyenne,P4 — Basse"</formula1>
    </dataValidation>
    <dataValidation sqref="H23" showDropDown="0" showInputMessage="0" showErrorMessage="0" allowBlank="1" type="list">
      <formula1>"✅ Résolu,🔄 En cours,⏳ À faire,🚫 Abandonné"</formula1>
    </dataValidation>
    <dataValidation sqref="G23" showDropDown="0" showInputMessage="0" showErrorMessage="0" allowBlank="1" type="list">
      <formula1>"🔴 Critique,🟠 Majeure,🟡 Mineure,🟢 Cosmétique"</formula1>
    </dataValidation>
    <dataValidation sqref="F23" showDropDown="0" showInputMessage="0" showErrorMessage="0" allowBlank="1" type="list">
      <formula1>"P1 — Critique,P2 — Haute,P3 — Moyenne,P4 — Basse"</formula1>
    </dataValidation>
    <dataValidation sqref="H23" showDropDown="0" showInputMessage="0" showErrorMessage="0" allowBlank="1" type="list">
      <formula1>"✅ Résolu,🔄 En cours,⏳ À faire,🚫 Abandonné"</formula1>
    </dataValidation>
    <dataValidation sqref="G23" showDropDown="0" showInputMessage="0" showErrorMessage="0" allowBlank="1" type="list">
      <formula1>"🔴 Critique,🟠 Majeure,🟡 Mineure,🟢 Cosmétique"</formula1>
    </dataValidation>
    <dataValidation sqref="F23" showDropDown="0" showInputMessage="0" showErrorMessage="0" allowBlank="1" type="list">
      <formula1>"P1 — Critique,P2 — Haute,P3 — Moyenne,P4 — Basse"</formula1>
    </dataValidation>
    <dataValidation sqref="H23" showDropDown="0" showInputMessage="0" showErrorMessage="0" allowBlank="1" type="list">
      <formula1>"✅ Résolu,🔄 En cours,⏳ À faire,🚫 Abandonné"</formula1>
    </dataValidation>
    <dataValidation sqref="G23" showDropDown="0" showInputMessage="0" showErrorMessage="0" allowBlank="1" type="list">
      <formula1>"🔴 Critique,🟠 Majeure,🟡 Mineure,🟢 Cosmétique"</formula1>
    </dataValidation>
    <dataValidation sqref="F23" showDropDown="0" showInputMessage="0" showErrorMessage="0" allowBlank="1" type="list">
      <formula1>"P1 — Critique,P2 — Haute,P3 — Moyenne,P4 — Basse"</formula1>
    </dataValidation>
    <dataValidation sqref="H23" showDropDown="0" showInputMessage="0" showErrorMessage="0" allowBlank="1" type="list">
      <formula1>"✅ Résolu,🔄 En cours,⏳ À faire,🚫 Abandonné"</formula1>
    </dataValidation>
    <dataValidation sqref="G23" showDropDown="0" showInputMessage="0" showErrorMessage="0" allowBlank="1" type="list">
      <formula1>"🔴 Critique,🟠 Majeure,🟡 Mineure,🟢 Cosmétique"</formula1>
    </dataValidation>
    <dataValidation sqref="F23" showDropDown="0" showInputMessage="0" showErrorMessage="0" allowBlank="1" type="list">
      <formula1>"P1 — Critique,P2 — Haute,P3 — Moyenne,P4 — Basse"</formula1>
    </dataValidation>
    <dataValidation sqref="H23" showDropDown="0" showInputMessage="0" showErrorMessage="0" allowBlank="1" type="list">
      <formula1>"✅ Résolu,🔄 En cours,⏳ À faire,🚫 Abandonné"</formula1>
    </dataValidation>
    <dataValidation sqref="G23" showDropDown="0" showInputMessage="0" showErrorMessage="0" allowBlank="1" type="list">
      <formula1>"🔴 Critique,🟠 Majeure,🟡 Mineure,🟢 Cosmétique"</formula1>
    </dataValidation>
    <dataValidation sqref="F23" showDropDown="0" showInputMessage="0" showErrorMessage="0" allowBlank="1" type="list">
      <formula1>"P1 — Critique,P2 — Haute,P3 — Moyenne,P4 — Basse"</formula1>
    </dataValidation>
    <dataValidation sqref="H23" showDropDown="0" showInputMessage="0" showErrorMessage="0" allowBlank="1" type="list">
      <formula1>"✅ Résolu,🔄 En cours,⏳ À faire,🚫 Abandonné"</formula1>
    </dataValidation>
    <dataValidation sqref="G23" showDropDown="0" showInputMessage="0" showErrorMessage="0" allowBlank="1" type="list">
      <formula1>"🔴 Critique,🟠 Majeure,🟡 Mineure,🟢 Cosmétique"</formula1>
    </dataValidation>
    <dataValidation sqref="F23" showDropDown="0" showInputMessage="0" showErrorMessage="0" allowBlank="1" type="list">
      <formula1>"P1 — Critique,P2 — Haute,P3 — Moyenne,P4 — Basse"</formula1>
    </dataValidation>
    <dataValidation sqref="H23" showDropDown="0" showInputMessage="0" showErrorMessage="0" allowBlank="1" type="list">
      <formula1>"✅ Résolu,🔄 En cours,⏳ À faire,🚫 Abandonné"</formula1>
    </dataValidation>
    <dataValidation sqref="G23" showDropDown="0" showInputMessage="0" showErrorMessage="0" allowBlank="1" type="list">
      <formula1>"🔴 Critique,🟠 Majeure,🟡 Mineure,🟢 Cosmétique"</formula1>
    </dataValidation>
    <dataValidation sqref="F23" showDropDown="0" showInputMessage="0" showErrorMessage="0" allowBlank="1" type="list">
      <formula1>"P1 — Critique,P2 — Haute,P3 — Moyenne,P4 — Basse"</formula1>
    </dataValidation>
    <dataValidation sqref="H23" showDropDown="0" showInputMessage="0" showErrorMessage="0" allowBlank="1" type="list">
      <formula1>"✅ Résolu,🔄 En cours,⏳ À faire,🚫 Abandonné"</formula1>
    </dataValidation>
    <dataValidation sqref="G23" showDropDown="0" showInputMessage="0" showErrorMessage="0" allowBlank="1" type="list">
      <formula1>"🔴 Critique,🟠 Majeure,🟡 Mineure,🟢 Cosmétique"</formula1>
    </dataValidation>
    <dataValidation sqref="F23" showDropDown="0" showInputMessage="0" showErrorMessage="0" allowBlank="1" type="list">
      <formula1>"P1 — Critique,P2 — Haute,P3 — Moyenne,P4 — Basse"</formula1>
    </dataValidation>
    <dataValidation sqref="H23" showDropDown="0" showInputMessage="0" showErrorMessage="0" allowBlank="1" type="list">
      <formula1>"✅ Résolu,🔄 En cours,⏳ À faire,🚫 Abandonné"</formula1>
    </dataValidation>
    <dataValidation sqref="G23" showDropDown="0" showInputMessage="0" showErrorMessage="0" allowBlank="1" type="list">
      <formula1>"🔴 Critique,🟠 Majeure,🟡 Mineure,🟢 Cosmétique"</formula1>
    </dataValidation>
    <dataValidation sqref="F23" showDropDown="0" showInputMessage="0" showErrorMessage="0" allowBlank="1" type="list">
      <formula1>"P1 — Critique,P2 — Haute,P3 — Moyenne,P4 — Basse"</formula1>
    </dataValidation>
    <dataValidation sqref="H24" showDropDown="0" showInputMessage="0" showErrorMessage="0" allowBlank="1" type="list">
      <formula1>"✅ Résolu,🔄 En cours,⏳ À faire,🚫 Abandonné"</formula1>
    </dataValidation>
    <dataValidation sqref="G24" showDropDown="0" showInputMessage="0" showErrorMessage="0" allowBlank="1" type="list">
      <formula1>"🔴 Critique,🟠 Majeure,🟡 Mineure,🟢 Cosmétique"</formula1>
    </dataValidation>
    <dataValidation sqref="F24" showDropDown="0" showInputMessage="0" showErrorMessage="0" allowBlank="1" type="list">
      <formula1>"P1 — Critique,P2 — Haute,P3 — Moyenne,P4 — Basse"</formula1>
    </dataValidation>
    <dataValidation sqref="H24" showDropDown="0" showInputMessage="0" showErrorMessage="0" allowBlank="1" type="list">
      <formula1>"✅ Résolu,🔄 En cours,⏳ À faire,🚫 Abandonné"</formula1>
    </dataValidation>
    <dataValidation sqref="G24" showDropDown="0" showInputMessage="0" showErrorMessage="0" allowBlank="1" type="list">
      <formula1>"🔴 Critique,🟠 Majeure,🟡 Mineure,🟢 Cosmétique"</formula1>
    </dataValidation>
    <dataValidation sqref="F24" showDropDown="0" showInputMessage="0" showErrorMessage="0" allowBlank="1" type="list">
      <formula1>"P1 — Critique,P2 — Haute,P3 — Moyenne,P4 — Basse"</formula1>
    </dataValidation>
    <dataValidation sqref="H24" showDropDown="0" showInputMessage="0" showErrorMessage="0" allowBlank="1" type="list">
      <formula1>"✅ Résolu,🔄 En cours,⏳ À faire,🚫 Abandonné"</formula1>
    </dataValidation>
    <dataValidation sqref="G24" showDropDown="0" showInputMessage="0" showErrorMessage="0" allowBlank="1" type="list">
      <formula1>"🔴 Critique,🟠 Majeure,🟡 Mineure,🟢 Cosmétique"</formula1>
    </dataValidation>
    <dataValidation sqref="F24" showDropDown="0" showInputMessage="0" showErrorMessage="0" allowBlank="1" type="list">
      <formula1>"P1 — Critique,P2 — Haute,P3 — Moyenne,P4 — Basse"</formula1>
    </dataValidation>
    <dataValidation sqref="H24" showDropDown="0" showInputMessage="0" showErrorMessage="0" allowBlank="1" type="list">
      <formula1>"✅ Résolu,🔄 En cours,⏳ À faire,🚫 Abandonné"</formula1>
    </dataValidation>
    <dataValidation sqref="G24" showDropDown="0" showInputMessage="0" showErrorMessage="0" allowBlank="1" type="list">
      <formula1>"🔴 Critique,🟠 Majeure,🟡 Mineure,🟢 Cosmétique"</formula1>
    </dataValidation>
    <dataValidation sqref="F24" showDropDown="0" showInputMessage="0" showErrorMessage="0" allowBlank="1" type="list">
      <formula1>"P1 — Critique,P2 — Haute,P3 — Moyenne,P4 — Basse"</formula1>
    </dataValidation>
    <dataValidation sqref="H24" showDropDown="0" showInputMessage="0" showErrorMessage="0" allowBlank="1" type="list">
      <formula1>"✅ Résolu,🔄 En cours,⏳ À faire,🚫 Abandonné"</formula1>
    </dataValidation>
    <dataValidation sqref="G24" showDropDown="0" showInputMessage="0" showErrorMessage="0" allowBlank="1" type="list">
      <formula1>"🔴 Critique,🟠 Majeure,🟡 Mineure,🟢 Cosmétique"</formula1>
    </dataValidation>
    <dataValidation sqref="F24" showDropDown="0" showInputMessage="0" showErrorMessage="0" allowBlank="1" type="list">
      <formula1>"P1 — Critique,P2 — Haute,P3 — Moyenne,P4 — Basse"</formula1>
    </dataValidation>
    <dataValidation sqref="H24" showDropDown="0" showInputMessage="0" showErrorMessage="0" allowBlank="1" type="list">
      <formula1>"✅ Résolu,🔄 En cours,⏳ À faire,🚫 Abandonné"</formula1>
    </dataValidation>
    <dataValidation sqref="G24" showDropDown="0" showInputMessage="0" showErrorMessage="0" allowBlank="1" type="list">
      <formula1>"🔴 Critique,🟠 Majeure,🟡 Mineure,🟢 Cosmétique"</formula1>
    </dataValidation>
    <dataValidation sqref="F24" showDropDown="0" showInputMessage="0" showErrorMessage="0" allowBlank="1" type="list">
      <formula1>"P1 — Critique,P2 — Haute,P3 — Moyenne,P4 — Basse"</formula1>
    </dataValidation>
    <dataValidation sqref="H24" showDropDown="0" showInputMessage="0" showErrorMessage="0" allowBlank="1" type="list">
      <formula1>"✅ Résolu,🔄 En cours,⏳ À faire,🚫 Abandonné"</formula1>
    </dataValidation>
    <dataValidation sqref="G24" showDropDown="0" showInputMessage="0" showErrorMessage="0" allowBlank="1" type="list">
      <formula1>"🔴 Critique,🟠 Majeure,🟡 Mineure,🟢 Cosmétique"</formula1>
    </dataValidation>
    <dataValidation sqref="F24" showDropDown="0" showInputMessage="0" showErrorMessage="0" allowBlank="1" type="list">
      <formula1>"P1 — Critique,P2 — Haute,P3 — Moyenne,P4 — Basse"</formula1>
    </dataValidation>
    <dataValidation sqref="H24" showDropDown="0" showInputMessage="0" showErrorMessage="0" allowBlank="1" type="list">
      <formula1>"✅ Résolu,🔄 En cours,⏳ À faire,🚫 Abandonné"</formula1>
    </dataValidation>
    <dataValidation sqref="G24" showDropDown="0" showInputMessage="0" showErrorMessage="0" allowBlank="1" type="list">
      <formula1>"🔴 Critique,🟠 Majeure,🟡 Mineure,🟢 Cosmétique"</formula1>
    </dataValidation>
    <dataValidation sqref="F24" showDropDown="0" showInputMessage="0" showErrorMessage="0" allowBlank="1" type="list">
      <formula1>"P1 — Critique,P2 — Haute,P3 — Moyenne,P4 — Basse"</formula1>
    </dataValidation>
    <dataValidation sqref="H24" showDropDown="0" showInputMessage="0" showErrorMessage="0" allowBlank="1" type="list">
      <formula1>"✅ Résolu,🔄 En cours,⏳ À faire,🚫 Abandonné"</formula1>
    </dataValidation>
    <dataValidation sqref="G24" showDropDown="0" showInputMessage="0" showErrorMessage="0" allowBlank="1" type="list">
      <formula1>"🔴 Critique,🟠 Majeure,🟡 Mineure,🟢 Cosmétique"</formula1>
    </dataValidation>
    <dataValidation sqref="F24" showDropDown="0" showInputMessage="0" showErrorMessage="0" allowBlank="1" type="list">
      <formula1>"P1 — Critique,P2 — Haute,P3 — Moyenne,P4 — Basse"</formula1>
    </dataValidation>
    <dataValidation sqref="H24" showDropDown="0" showInputMessage="0" showErrorMessage="0" allowBlank="1" type="list">
      <formula1>"✅ Résolu,🔄 En cours,⏳ À faire,🚫 Abandonné"</formula1>
    </dataValidation>
    <dataValidation sqref="G24" showDropDown="0" showInputMessage="0" showErrorMessage="0" allowBlank="1" type="list">
      <formula1>"🔴 Critique,🟠 Majeure,🟡 Mineure,🟢 Cosmétique"</formula1>
    </dataValidation>
    <dataValidation sqref="F24" showDropDown="0" showInputMessage="0" showErrorMessage="0" allowBlank="1" type="list">
      <formula1>"P1 — Critique,P2 — Haute,P3 — Moyenne,P4 — Basse"</formula1>
    </dataValidation>
    <dataValidation sqref="H24" showDropDown="0" showInputMessage="0" showErrorMessage="0" allowBlank="1" type="list">
      <formula1>"✅ Résolu,🔄 En cours,⏳ À faire,🚫 Abandonné"</formula1>
    </dataValidation>
    <dataValidation sqref="G24" showDropDown="0" showInputMessage="0" showErrorMessage="0" allowBlank="1" type="list">
      <formula1>"🔴 Critique,🟠 Majeure,🟡 Mineure,🟢 Cosmétique"</formula1>
    </dataValidation>
    <dataValidation sqref="F24" showDropDown="0" showInputMessage="0" showErrorMessage="0" allowBlank="1" type="list">
      <formula1>"P1 — Critique,P2 — Haute,P3 — Moyenne,P4 — Basse"</formula1>
    </dataValidation>
    <dataValidation sqref="H24" showDropDown="0" showInputMessage="0" showErrorMessage="0" allowBlank="1" type="list">
      <formula1>"✅ Résolu,🔄 En cours,⏳ À faire,🚫 Abandonné"</formula1>
    </dataValidation>
    <dataValidation sqref="G24" showDropDown="0" showInputMessage="0" showErrorMessage="0" allowBlank="1" type="list">
      <formula1>"🔴 Critique,🟠 Majeure,🟡 Mineure,🟢 Cosmétique"</formula1>
    </dataValidation>
    <dataValidation sqref="F24" showDropDown="0" showInputMessage="0" showErrorMessage="0" allowBlank="1" type="list">
      <formula1>"P1 — Critique,P2 — Haute,P3 — Moyenne,P4 — Basse"</formula1>
    </dataValidation>
    <dataValidation sqref="H25" showDropDown="0" showInputMessage="0" showErrorMessage="0" allowBlank="1" type="list">
      <formula1>"✅ Résolu,🔄 En cours,⏳ À faire,🚫 Abandonné"</formula1>
    </dataValidation>
    <dataValidation sqref="G25" showDropDown="0" showInputMessage="0" showErrorMessage="0" allowBlank="1" type="list">
      <formula1>"🔴 Critique,🟠 Majeure,🟡 Mineure,🟢 Cosmétique"</formula1>
    </dataValidation>
    <dataValidation sqref="F25" showDropDown="0" showInputMessage="0" showErrorMessage="0" allowBlank="1" type="list">
      <formula1>"P1 — Critique,P2 — Haute,P3 — Moyenne,P4 — Basse"</formula1>
    </dataValidation>
    <dataValidation sqref="H25" showDropDown="0" showInputMessage="0" showErrorMessage="0" allowBlank="1" type="list">
      <formula1>"✅ Résolu,🔄 En cours,⏳ À faire,🚫 Abandonné"</formula1>
    </dataValidation>
    <dataValidation sqref="G25" showDropDown="0" showInputMessage="0" showErrorMessage="0" allowBlank="1" type="list">
      <formula1>"🔴 Critique,🟠 Majeure,🟡 Mineure,🟢 Cosmétique"</formula1>
    </dataValidation>
    <dataValidation sqref="F25" showDropDown="0" showInputMessage="0" showErrorMessage="0" allowBlank="1" type="list">
      <formula1>"P1 — Critique,P2 — Haute,P3 — Moyenne,P4 — Basse"</formula1>
    </dataValidation>
    <dataValidation sqref="H25" showDropDown="0" showInputMessage="0" showErrorMessage="0" allowBlank="1" type="list">
      <formula1>"✅ Résolu,🔄 En cours,⏳ À faire,🚫 Abandonné"</formula1>
    </dataValidation>
    <dataValidation sqref="G25" showDropDown="0" showInputMessage="0" showErrorMessage="0" allowBlank="1" type="list">
      <formula1>"🔴 Critique,🟠 Majeure,🟡 Mineure,🟢 Cosmétique"</formula1>
    </dataValidation>
    <dataValidation sqref="F25" showDropDown="0" showInputMessage="0" showErrorMessage="0" allowBlank="1" type="list">
      <formula1>"P1 — Critique,P2 — Haute,P3 — Moyenne,P4 — Basse"</formula1>
    </dataValidation>
    <dataValidation sqref="H25" showDropDown="0" showInputMessage="0" showErrorMessage="0" allowBlank="1" type="list">
      <formula1>"✅ Résolu,🔄 En cours,⏳ À faire,🚫 Abandonné"</formula1>
    </dataValidation>
    <dataValidation sqref="G25" showDropDown="0" showInputMessage="0" showErrorMessage="0" allowBlank="1" type="list">
      <formula1>"🔴 Critique,🟠 Majeure,🟡 Mineure,🟢 Cosmétique"</formula1>
    </dataValidation>
    <dataValidation sqref="F25" showDropDown="0" showInputMessage="0" showErrorMessage="0" allowBlank="1" type="list">
      <formula1>"P1 — Critique,P2 — Haute,P3 — Moyenne,P4 — Basse"</formula1>
    </dataValidation>
    <dataValidation sqref="H25" showDropDown="0" showInputMessage="0" showErrorMessage="0" allowBlank="1" type="list">
      <formula1>"✅ Résolu,🔄 En cours,⏳ À faire,🚫 Abandonné"</formula1>
    </dataValidation>
    <dataValidation sqref="G25" showDropDown="0" showInputMessage="0" showErrorMessage="0" allowBlank="1" type="list">
      <formula1>"🔴 Critique,🟠 Majeure,🟡 Mineure,🟢 Cosmétique"</formula1>
    </dataValidation>
    <dataValidation sqref="F25" showDropDown="0" showInputMessage="0" showErrorMessage="0" allowBlank="1" type="list">
      <formula1>"P1 — Critique,P2 — Haute,P3 — Moyenne,P4 — Basse"</formula1>
    </dataValidation>
    <dataValidation sqref="H25" showDropDown="0" showInputMessage="0" showErrorMessage="0" allowBlank="1" type="list">
      <formula1>"✅ Résolu,🔄 En cours,⏳ À faire,🚫 Abandonné"</formula1>
    </dataValidation>
    <dataValidation sqref="G25" showDropDown="0" showInputMessage="0" showErrorMessage="0" allowBlank="1" type="list">
      <formula1>"🔴 Critique,🟠 Majeure,🟡 Mineure,🟢 Cosmétique"</formula1>
    </dataValidation>
    <dataValidation sqref="F25" showDropDown="0" showInputMessage="0" showErrorMessage="0" allowBlank="1" type="list">
      <formula1>"P1 — Critique,P2 — Haute,P3 — Moyenne,P4 — Basse"</formula1>
    </dataValidation>
    <dataValidation sqref="H25" showDropDown="0" showInputMessage="0" showErrorMessage="0" allowBlank="1" type="list">
      <formula1>"✅ Résolu,🔄 En cours,⏳ À faire,🚫 Abandonné"</formula1>
    </dataValidation>
    <dataValidation sqref="G25" showDropDown="0" showInputMessage="0" showErrorMessage="0" allowBlank="1" type="list">
      <formula1>"🔴 Critique,🟠 Majeure,🟡 Mineure,🟢 Cosmétique"</formula1>
    </dataValidation>
    <dataValidation sqref="F25" showDropDown="0" showInputMessage="0" showErrorMessage="0" allowBlank="1" type="list">
      <formula1>"P1 — Critique,P2 — Haute,P3 — Moyenne,P4 — Basse"</formula1>
    </dataValidation>
    <dataValidation sqref="H25" showDropDown="0" showInputMessage="0" showErrorMessage="0" allowBlank="1" type="list">
      <formula1>"✅ Résolu,🔄 En cours,⏳ À faire,🚫 Abandonné"</formula1>
    </dataValidation>
    <dataValidation sqref="G25" showDropDown="0" showInputMessage="0" showErrorMessage="0" allowBlank="1" type="list">
      <formula1>"🔴 Critique,🟠 Majeure,🟡 Mineure,🟢 Cosmétique"</formula1>
    </dataValidation>
    <dataValidation sqref="F25" showDropDown="0" showInputMessage="0" showErrorMessage="0" allowBlank="1" type="list">
      <formula1>"P1 — Critique,P2 — Haute,P3 — Moyenne,P4 — Basse"</formula1>
    </dataValidation>
    <dataValidation sqref="H25" showDropDown="0" showInputMessage="0" showErrorMessage="0" allowBlank="1" type="list">
      <formula1>"✅ Résolu,🔄 En cours,⏳ À faire,🚫 Abandonné"</formula1>
    </dataValidation>
    <dataValidation sqref="G25" showDropDown="0" showInputMessage="0" showErrorMessage="0" allowBlank="1" type="list">
      <formula1>"🔴 Critique,🟠 Majeure,🟡 Mineure,🟢 Cosmétique"</formula1>
    </dataValidation>
    <dataValidation sqref="F25" showDropDown="0" showInputMessage="0" showErrorMessage="0" allowBlank="1" type="list">
      <formula1>"P1 — Critique,P2 — Haute,P3 — Moyenne,P4 — Basse"</formula1>
    </dataValidation>
    <dataValidation sqref="H25" showDropDown="0" showInputMessage="0" showErrorMessage="0" allowBlank="1" type="list">
      <formula1>"✅ Résolu,🔄 En cours,⏳ À faire,🚫 Abandonné"</formula1>
    </dataValidation>
    <dataValidation sqref="G25" showDropDown="0" showInputMessage="0" showErrorMessage="0" allowBlank="1" type="list">
      <formula1>"🔴 Critique,🟠 Majeure,🟡 Mineure,🟢 Cosmétique"</formula1>
    </dataValidation>
    <dataValidation sqref="F25" showDropDown="0" showInputMessage="0" showErrorMessage="0" allowBlank="1" type="list">
      <formula1>"P1 — Critique,P2 — Haute,P3 — Moyenne,P4 — Basse"</formula1>
    </dataValidation>
    <dataValidation sqref="H25" showDropDown="0" showInputMessage="0" showErrorMessage="0" allowBlank="1" type="list">
      <formula1>"✅ Résolu,🔄 En cours,⏳ À faire,🚫 Abandonné"</formula1>
    </dataValidation>
    <dataValidation sqref="G25" showDropDown="0" showInputMessage="0" showErrorMessage="0" allowBlank="1" type="list">
      <formula1>"🔴 Critique,🟠 Majeure,🟡 Mineure,🟢 Cosmétique"</formula1>
    </dataValidation>
    <dataValidation sqref="F25" showDropDown="0" showInputMessage="0" showErrorMessage="0" allowBlank="1" type="list">
      <formula1>"P1 — Critique,P2 — Haute,P3 — Moyenne,P4 — Basse"</formula1>
    </dataValidation>
    <dataValidation sqref="H25" showDropDown="0" showInputMessage="0" showErrorMessage="0" allowBlank="1" type="list">
      <formula1>"✅ Résolu,🔄 En cours,⏳ À faire,🚫 Abandonné"</formula1>
    </dataValidation>
    <dataValidation sqref="G25" showDropDown="0" showInputMessage="0" showErrorMessage="0" allowBlank="1" type="list">
      <formula1>"🔴 Critique,🟠 Majeure,🟡 Mineure,🟢 Cosmétique"</formula1>
    </dataValidation>
    <dataValidation sqref="F25" showDropDown="0" showInputMessage="0" showErrorMessage="0" allowBlank="1" type="list">
      <formula1>"P1 — Critique,P2 — Haute,P3 — Moyenne,P4 — Basse"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2026-05-15T17:16:46Z</dcterms:created>
  <dcterms:modified xmlns:dcterms="http://purl.org/dc/terms/" xmlns:xsi="http://www.w3.org/2001/XMLSchema-instance" xsi:type="dcterms:W3CDTF">2026-10-25T11:20:51Z</dcterms:modified>
</cp:coreProperties>
</file>