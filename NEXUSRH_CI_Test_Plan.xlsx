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GUIDE" sheetId="2" state="visible" r:id="rId2"/>
    <sheet xmlns:r="http://schemas.openxmlformats.org/officeDocument/2006/relationships" name="AUTH" sheetId="3" state="visible" r:id="rId3"/>
    <sheet xmlns:r="http://schemas.openxmlformats.org/officeDocument/2006/relationships" name="PLT" sheetId="4" state="visible" r:id="rId4"/>
    <sheet xmlns:r="http://schemas.openxmlformats.org/officeDocument/2006/relationships" name="EMP" sheetId="5" state="visible" r:id="rId5"/>
    <sheet xmlns:r="http://schemas.openxmlformats.org/officeDocument/2006/relationships" name="PAY" sheetId="6" state="visible" r:id="rId6"/>
    <sheet xmlns:r="http://schemas.openxmlformats.org/officeDocument/2006/relationships" name="ABS" sheetId="7" state="visible" r:id="rId7"/>
    <sheet xmlns:r="http://schemas.openxmlformats.org/officeDocument/2006/relationships" name="REC" sheetId="8" state="visible" r:id="rId8"/>
    <sheet xmlns:r="http://schemas.openxmlformats.org/officeDocument/2006/relationships" name="SRC" sheetId="9" state="visible" r:id="rId9"/>
    <sheet xmlns:r="http://schemas.openxmlformats.org/officeDocument/2006/relationships" name="MPF" sheetId="10" state="visible" r:id="rId10"/>
    <sheet xmlns:r="http://schemas.openxmlformats.org/officeDocument/2006/relationships" name="FRM" sheetId="11" state="visible" r:id="rId11"/>
    <sheet xmlns:r="http://schemas.openxmlformats.org/officeDocument/2006/relationships" name="FRA" sheetId="12" state="visible" r:id="rId12"/>
    <sheet xmlns:r="http://schemas.openxmlformats.org/officeDocument/2006/relationships" name="CAR" sheetId="13" state="visible" r:id="rId13"/>
    <sheet xmlns:r="http://schemas.openxmlformats.org/officeDocument/2006/relationships" name="CNP" sheetId="14" state="visible" r:id="rId14"/>
    <sheet xmlns:r="http://schemas.openxmlformats.org/officeDocument/2006/relationships" name="MM" sheetId="15" state="visible" r:id="rId15"/>
    <sheet xmlns:r="http://schemas.openxmlformats.org/officeDocument/2006/relationships" name="AI" sheetId="16" state="visible" r:id="rId16"/>
    <sheet xmlns:r="http://schemas.openxmlformats.org/officeDocument/2006/relationships" name="REP" sheetId="17" state="visible" r:id="rId17"/>
    <sheet xmlns:r="http://schemas.openxmlformats.org/officeDocument/2006/relationships" name="SET" sheetId="18" state="visible" r:id="rId18"/>
    <sheet xmlns:r="http://schemas.openxmlformats.org/officeDocument/2006/relationships" name="RBA" sheetId="19" state="visible" r:id="rId19"/>
    <sheet xmlns:r="http://schemas.openxmlformats.org/officeDocument/2006/relationships" name="ESP" sheetId="20" state="visible" r:id="rId20"/>
    <sheet xmlns:r="http://schemas.openxmlformats.org/officeDocument/2006/relationships" name="E2E" sheetId="21" state="visible" r:id="rId21"/>
    <sheet xmlns:r="http://schemas.openxmlformats.org/officeDocument/2006/relationships" name="TICKETS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Calibri"/>
      <b val="1"/>
      <color rgb="001E3A5F"/>
      <sz val="18"/>
    </font>
    <font>
      <name val="Calibri"/>
      <color rgb="0064748B"/>
      <sz val="10"/>
    </font>
    <font>
      <name val="Calibri"/>
      <b val="1"/>
      <color rgb="00FFFFFF"/>
      <sz val="11"/>
    </font>
    <font>
      <name val="Calibri"/>
      <b val="1"/>
      <color rgb="00FFFFFF"/>
      <sz val="9"/>
    </font>
    <font>
      <name val="Calibri"/>
      <b val="1"/>
      <sz val="9"/>
    </font>
    <font>
      <name val="Calibri"/>
      <sz val="9"/>
    </font>
    <font>
      <name val="Calibri"/>
      <b val="1"/>
      <color rgb="00FFFFFF"/>
      <sz val="10"/>
    </font>
    <font>
      <name val="Calibri"/>
      <b val="1"/>
      <color rgb="0016A34A"/>
      <sz val="18"/>
    </font>
    <font>
      <name val="Calibri"/>
      <b val="1"/>
      <color rgb="00DC2626"/>
      <sz val="18"/>
    </font>
    <font>
      <name val="Calibri"/>
      <b val="1"/>
      <color rgb="00D97706"/>
      <sz val="18"/>
    </font>
    <font>
      <name val="Calibri"/>
      <b val="1"/>
      <color rgb="002563EB"/>
      <sz val="18"/>
    </font>
    <font>
      <name val="Calibri"/>
      <b val="1"/>
      <color rgb="0064748B"/>
      <sz val="18"/>
    </font>
    <font>
      <name val="Calibri"/>
      <b val="1"/>
      <color rgb="00E85D04"/>
      <sz val="18"/>
    </font>
    <font>
      <name val="Calibri"/>
      <b val="1"/>
      <color rgb="00FFFFFF"/>
      <sz val="13"/>
    </font>
    <font>
      <name val="Calibri"/>
      <b val="1"/>
      <color rgb="00FFFFFF"/>
      <sz val="12"/>
    </font>
    <font>
      <name val="Calibri"/>
      <b val="1"/>
      <color rgb="00DC2626"/>
      <sz val="9"/>
    </font>
    <font>
      <name val="Calibri"/>
      <color rgb="0064748B"/>
      <sz val="9"/>
    </font>
    <font>
      <name val="Calibri"/>
      <b val="1"/>
      <color rgb="00D97706"/>
      <sz val="9"/>
    </font>
    <font>
      <name val="Calibri"/>
      <b val="1"/>
      <color rgb="002563EB"/>
      <sz val="9"/>
    </font>
    <font>
      <name val="Calibri"/>
      <color rgb="009CA3AF"/>
      <sz val="9"/>
    </font>
  </fonts>
  <fills count="31">
    <fill>
      <patternFill/>
    </fill>
    <fill>
      <patternFill patternType="gray125"/>
    </fill>
    <fill>
      <patternFill patternType="solid">
        <fgColor rgb="001E3A5F"/>
      </patternFill>
    </fill>
    <fill>
      <patternFill patternType="solid">
        <fgColor rgb="00374151"/>
      </patternFill>
    </fill>
    <fill>
      <patternFill patternType="solid">
        <fgColor rgb="00166534"/>
      </patternFill>
    </fill>
    <fill>
      <patternFill patternType="solid">
        <fgColor rgb="007F1D1D"/>
      </patternFill>
    </fill>
    <fill>
      <patternFill patternType="solid">
        <fgColor rgb="0078350F"/>
      </patternFill>
    </fill>
    <fill>
      <patternFill patternType="solid">
        <fgColor rgb="001E40AF"/>
      </patternFill>
    </fill>
    <fill>
      <patternFill patternType="solid">
        <fgColor rgb="00FFFFFF"/>
      </patternFill>
    </fill>
    <fill>
      <patternFill patternType="solid">
        <fgColor rgb="00F4F6FB"/>
      </patternFill>
    </fill>
    <fill>
      <patternFill patternType="solid">
        <fgColor rgb="00F8FAFC"/>
      </patternFill>
    </fill>
    <fill>
      <patternFill patternType="solid">
        <fgColor rgb="0016A34A"/>
      </patternFill>
    </fill>
    <fill>
      <patternFill patternType="solid">
        <fgColor rgb="00DC2626"/>
      </patternFill>
    </fill>
    <fill>
      <patternFill patternType="solid">
        <fgColor rgb="00D97706"/>
      </patternFill>
    </fill>
    <fill>
      <patternFill patternType="solid">
        <fgColor rgb="002563EB"/>
      </patternFill>
    </fill>
    <fill>
      <patternFill patternType="solid">
        <fgColor rgb="0064748B"/>
      </patternFill>
    </fill>
    <fill>
      <patternFill patternType="solid">
        <fgColor rgb="00E85D04"/>
      </patternFill>
    </fill>
    <fill>
      <patternFill patternType="solid">
        <fgColor rgb="00DDE3E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BEAFE"/>
      </patternFill>
    </fill>
    <fill>
      <patternFill patternType="solid">
        <fgColor rgb="00312E81"/>
      </patternFill>
    </fill>
    <fill>
      <patternFill patternType="solid">
        <fgColor rgb="00065F46"/>
      </patternFill>
    </fill>
    <fill>
      <patternFill patternType="solid">
        <fgColor rgb="007C3AED"/>
      </patternFill>
    </fill>
    <fill>
      <patternFill patternType="solid">
        <fgColor rgb="00B45309"/>
      </patternFill>
    </fill>
    <fill>
      <patternFill patternType="solid">
        <fgColor rgb="000E7490"/>
      </patternFill>
    </fill>
    <fill>
      <patternFill patternType="solid">
        <fgColor rgb="00059669"/>
      </patternFill>
    </fill>
    <fill>
      <patternFill patternType="solid">
        <fgColor rgb="001D4ED8"/>
      </patternFill>
    </fill>
    <fill>
      <patternFill patternType="solid">
        <fgColor rgb="00BE185D"/>
      </patternFill>
    </fill>
    <fill>
      <patternFill patternType="solid">
        <fgColor rgb="006D28D9"/>
      </patternFill>
    </fill>
    <fill>
      <patternFill patternType="solid">
        <fgColor rgb="00FEF2F2"/>
      </patternFill>
    </fill>
  </fills>
  <borders count="3">
    <border>
      <left/>
      <right/>
      <top/>
      <bottom/>
      <diagonal/>
    </border>
    <border>
      <left style="thin">
        <color rgb="00C0C8D8"/>
      </left>
      <right style="thin">
        <color rgb="00C0C8D8"/>
      </right>
      <top style="thin">
        <color rgb="00C0C8D8"/>
      </top>
      <bottom style="thin">
        <color rgb="00C0C8D8"/>
      </bottom>
    </border>
    <border>
      <left style="medium">
        <color rgb="001E3A5F"/>
      </left>
      <right style="medium">
        <color rgb="001E3A5F"/>
      </right>
      <top style="medium">
        <color rgb="001E3A5F"/>
      </top>
      <bottom style="medium">
        <color rgb="001E3A5F"/>
      </bottom>
    </border>
  </borders>
  <cellStyleXfs count="1">
    <xf numFmtId="0" fontId="0" fillId="0" borderId="0"/>
  </cellStyleXfs>
  <cellXfs count="69">
    <xf numFmtId="0" fontId="0" fillId="0" borderId="0" pivotButton="0" quotePrefix="0" xfId="0"/>
    <xf numFmtId="0" fontId="1" fillId="0" borderId="0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left" vertical="center"/>
    </xf>
    <xf numFmtId="0" fontId="3" fillId="2" borderId="0" applyAlignment="1" pivotButton="0" quotePrefix="0" xfId="0">
      <alignment horizontal="left" vertical="center"/>
    </xf>
    <xf numFmtId="0" fontId="4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4" fillId="6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center"/>
    </xf>
    <xf numFmtId="0" fontId="6" fillId="0" borderId="1" applyAlignment="1" pivotButton="0" quotePrefix="0" xfId="0">
      <alignment horizontal="center"/>
    </xf>
    <xf numFmtId="9" fontId="5" fillId="0" borderId="1" applyAlignment="1" pivotButton="0" quotePrefix="0" xfId="0">
      <alignment horizontal="center"/>
    </xf>
    <xf numFmtId="0" fontId="5" fillId="9" borderId="1" applyAlignment="1" pivotButton="0" quotePrefix="0" xfId="0">
      <alignment horizontal="left" vertical="center"/>
    </xf>
    <xf numFmtId="0" fontId="7" fillId="2" borderId="2" pivotButton="0" quotePrefix="0" xfId="0"/>
    <xf numFmtId="0" fontId="7" fillId="2" borderId="2" applyAlignment="1" pivotButton="0" quotePrefix="0" xfId="0">
      <alignment horizontal="center"/>
    </xf>
    <xf numFmtId="9" fontId="7" fillId="2" borderId="2" applyAlignment="1" pivotButton="0" quotePrefix="0" xfId="0">
      <alignment horizontal="center"/>
    </xf>
    <xf numFmtId="0" fontId="4" fillId="2" borderId="2" applyAlignment="1" pivotButton="0" quotePrefix="0" xfId="0">
      <alignment horizontal="center" vertical="bottom"/>
    </xf>
    <xf numFmtId="0" fontId="4" fillId="11" borderId="2" applyAlignment="1" pivotButton="0" quotePrefix="0" xfId="0">
      <alignment horizontal="center" vertical="bottom"/>
    </xf>
    <xf numFmtId="0" fontId="4" fillId="12" borderId="2" applyAlignment="1" pivotButton="0" quotePrefix="0" xfId="0">
      <alignment horizontal="center" vertical="bottom"/>
    </xf>
    <xf numFmtId="0" fontId="4" fillId="13" borderId="2" applyAlignment="1" pivotButton="0" quotePrefix="0" xfId="0">
      <alignment horizontal="center" vertical="bottom"/>
    </xf>
    <xf numFmtId="0" fontId="4" fillId="14" borderId="2" applyAlignment="1" pivotButton="0" quotePrefix="0" xfId="0">
      <alignment horizontal="center" vertical="bottom"/>
    </xf>
    <xf numFmtId="0" fontId="4" fillId="15" borderId="2" applyAlignment="1" pivotButton="0" quotePrefix="0" xfId="0">
      <alignment horizontal="center" vertical="bottom"/>
    </xf>
    <xf numFmtId="0" fontId="4" fillId="16" borderId="2" applyAlignment="1" pivotButton="0" quotePrefix="0" xfId="0">
      <alignment horizontal="center" vertical="bottom"/>
    </xf>
    <xf numFmtId="0" fontId="1" fillId="10" borderId="2" applyAlignment="1" pivotButton="0" quotePrefix="0" xfId="0">
      <alignment horizontal="center" vertical="center"/>
    </xf>
    <xf numFmtId="0" fontId="8" fillId="10" borderId="2" applyAlignment="1" pivotButton="0" quotePrefix="0" xfId="0">
      <alignment horizontal="center" vertical="center"/>
    </xf>
    <xf numFmtId="0" fontId="9" fillId="10" borderId="2" applyAlignment="1" pivotButton="0" quotePrefix="0" xfId="0">
      <alignment horizontal="center" vertical="center"/>
    </xf>
    <xf numFmtId="0" fontId="10" fillId="10" borderId="2" applyAlignment="1" pivotButton="0" quotePrefix="0" xfId="0">
      <alignment horizontal="center" vertical="center"/>
    </xf>
    <xf numFmtId="0" fontId="11" fillId="10" borderId="2" applyAlignment="1" pivotButton="0" quotePrefix="0" xfId="0">
      <alignment horizontal="center" vertical="center"/>
    </xf>
    <xf numFmtId="0" fontId="12" fillId="10" borderId="2" applyAlignment="1" pivotButton="0" quotePrefix="0" xfId="0">
      <alignment horizontal="center" vertical="center"/>
    </xf>
    <xf numFmtId="9" fontId="8" fillId="10" borderId="2" applyAlignment="1" pivotButton="0" quotePrefix="0" xfId="0">
      <alignment horizontal="center" vertical="center"/>
    </xf>
    <xf numFmtId="0" fontId="13" fillId="10" borderId="2" applyAlignment="1" pivotButton="0" quotePrefix="0" xfId="0">
      <alignment horizontal="center" vertical="center"/>
    </xf>
    <xf numFmtId="0" fontId="14" fillId="2" borderId="0" applyAlignment="1" pivotButton="0" quotePrefix="0" xfId="0">
      <alignment horizontal="center" vertical="center"/>
    </xf>
    <xf numFmtId="0" fontId="7" fillId="16" borderId="0" applyAlignment="1" pivotButton="0" quotePrefix="0" xfId="0">
      <alignment horizontal="left" vertical="center"/>
    </xf>
    <xf numFmtId="0" fontId="5" fillId="17" borderId="1" applyAlignment="1" pivotButton="0" quotePrefix="0" xfId="0">
      <alignment horizontal="left" vertical="center" wrapText="1"/>
    </xf>
    <xf numFmtId="0" fontId="6" fillId="9" borderId="1" applyAlignment="1" pivotButton="0" quotePrefix="0" xfId="0">
      <alignment horizontal="left" vertical="center" wrapText="1"/>
    </xf>
    <xf numFmtId="0" fontId="6" fillId="8" borderId="1" applyAlignment="1" pivotButton="0" quotePrefix="0" xfId="0">
      <alignment horizontal="left" vertical="center" wrapText="1"/>
    </xf>
    <xf numFmtId="0" fontId="15" fillId="2" borderId="0" applyAlignment="1" pivotButton="0" quotePrefix="0" xfId="0">
      <alignment horizontal="left" vertical="center"/>
    </xf>
    <xf numFmtId="0" fontId="4" fillId="2" borderId="1" applyAlignment="1" pivotButton="0" quotePrefix="0" xfId="0">
      <alignment horizontal="center" vertical="center" wrapText="1"/>
    </xf>
    <xf numFmtId="0" fontId="16" fillId="18" borderId="1" applyAlignment="1" pivotButton="0" quotePrefix="0" xfId="0">
      <alignment horizontal="center" vertical="center"/>
    </xf>
    <xf numFmtId="0" fontId="6" fillId="8" borderId="1" applyAlignment="1" pivotButton="0" quotePrefix="0" xfId="0">
      <alignment horizontal="left" vertical="top" wrapText="1"/>
    </xf>
    <xf numFmtId="0" fontId="17" fillId="10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left" vertical="top" wrapText="1"/>
    </xf>
    <xf numFmtId="0" fontId="18" fillId="19" borderId="1" applyAlignment="1" pivotButton="0" quotePrefix="0" xfId="0">
      <alignment horizontal="center" vertical="center"/>
    </xf>
    <xf numFmtId="0" fontId="19" fillId="20" borderId="1" applyAlignment="1" pivotButton="0" quotePrefix="0" xfId="0">
      <alignment horizontal="center" vertical="center"/>
    </xf>
    <xf numFmtId="0" fontId="15" fillId="21" borderId="0" applyAlignment="1" pivotButton="0" quotePrefix="0" xfId="0">
      <alignment horizontal="left" vertical="center"/>
    </xf>
    <xf numFmtId="0" fontId="4" fillId="21" borderId="1" applyAlignment="1" pivotButton="0" quotePrefix="0" xfId="0">
      <alignment horizontal="center" vertical="center"/>
    </xf>
    <xf numFmtId="0" fontId="15" fillId="22" borderId="0" applyAlignment="1" pivotButton="0" quotePrefix="0" xfId="0">
      <alignment horizontal="left" vertical="center"/>
    </xf>
    <xf numFmtId="0" fontId="4" fillId="22" borderId="1" applyAlignment="1" pivotButton="0" quotePrefix="0" xfId="0">
      <alignment horizontal="center" vertical="center"/>
    </xf>
    <xf numFmtId="0" fontId="15" fillId="23" borderId="0" applyAlignment="1" pivotButton="0" quotePrefix="0" xfId="0">
      <alignment horizontal="left" vertical="center"/>
    </xf>
    <xf numFmtId="0" fontId="4" fillId="23" borderId="1" applyAlignment="1" pivotButton="0" quotePrefix="0" xfId="0">
      <alignment horizontal="center" vertical="center"/>
    </xf>
    <xf numFmtId="0" fontId="15" fillId="24" borderId="0" applyAlignment="1" pivotButton="0" quotePrefix="0" xfId="0">
      <alignment horizontal="left" vertical="center"/>
    </xf>
    <xf numFmtId="0" fontId="4" fillId="24" borderId="1" applyAlignment="1" pivotButton="0" quotePrefix="0" xfId="0">
      <alignment horizontal="center" vertical="center"/>
    </xf>
    <xf numFmtId="0" fontId="15" fillId="25" borderId="0" applyAlignment="1" pivotButton="0" quotePrefix="0" xfId="0">
      <alignment horizontal="left" vertical="center"/>
    </xf>
    <xf numFmtId="0" fontId="4" fillId="25" borderId="1" applyAlignment="1" pivotButton="0" quotePrefix="0" xfId="0">
      <alignment horizontal="center" vertical="center"/>
    </xf>
    <xf numFmtId="0" fontId="15" fillId="26" borderId="0" applyAlignment="1" pivotButton="0" quotePrefix="0" xfId="0">
      <alignment horizontal="left" vertical="center"/>
    </xf>
    <xf numFmtId="0" fontId="4" fillId="26" borderId="1" applyAlignment="1" pivotButton="0" quotePrefix="0" xfId="0">
      <alignment horizontal="center" vertical="center"/>
    </xf>
    <xf numFmtId="0" fontId="15" fillId="27" borderId="0" applyAlignment="1" pivotButton="0" quotePrefix="0" xfId="0">
      <alignment horizontal="left" vertical="center"/>
    </xf>
    <xf numFmtId="0" fontId="4" fillId="27" borderId="1" applyAlignment="1" pivotButton="0" quotePrefix="0" xfId="0">
      <alignment horizontal="center" vertical="center"/>
    </xf>
    <xf numFmtId="0" fontId="15" fillId="28" borderId="0" applyAlignment="1" pivotButton="0" quotePrefix="0" xfId="0">
      <alignment horizontal="left" vertical="center"/>
    </xf>
    <xf numFmtId="0" fontId="4" fillId="28" borderId="1" applyAlignment="1" pivotButton="0" quotePrefix="0" xfId="0">
      <alignment horizontal="center" vertical="center"/>
    </xf>
    <xf numFmtId="0" fontId="15" fillId="29" borderId="0" applyAlignment="1" pivotButton="0" quotePrefix="0" xfId="0">
      <alignment horizontal="left" vertical="center"/>
    </xf>
    <xf numFmtId="0" fontId="4" fillId="29" borderId="1" applyAlignment="1" pivotButton="0" quotePrefix="0" xfId="0">
      <alignment horizontal="center" vertical="center"/>
    </xf>
    <xf numFmtId="0" fontId="15" fillId="3" borderId="0" applyAlignment="1" pivotButton="0" quotePrefix="0" xfId="0">
      <alignment horizontal="left" vertical="center"/>
    </xf>
    <xf numFmtId="0" fontId="15" fillId="5" borderId="0" applyAlignment="1" pivotButton="0" quotePrefix="0" xfId="0">
      <alignment horizontal="left" vertical="center"/>
    </xf>
    <xf numFmtId="0" fontId="20" fillId="30" borderId="1" applyAlignment="1" pivotButton="0" quotePrefix="0" xfId="0">
      <alignment horizontal="left" vertical="top" wrapText="1"/>
    </xf>
    <xf numFmtId="0" fontId="0" fillId="9" borderId="1" applyAlignment="1" pivotButton="0" quotePrefix="0" xfId="0">
      <alignment horizontal="left" vertical="top" wrapText="1"/>
    </xf>
    <xf numFmtId="0" fontId="0" fillId="8" borderId="1" applyAlignment="1" pivotButton="0" quotePrefix="0" xfId="0">
      <alignment horizontal="left" vertical="top" wrapText="1"/>
    </xf>
  </cellXfs>
  <cellStyles count="1">
    <cellStyle name="Normal" xfId="0" builtinId="0" hidden="0"/>
  </cellStyles>
  <dxfs count="5">
    <dxf>
      <font>
        <name val="Calibri"/>
        <color rgb="00166534"/>
        <sz val="9"/>
      </font>
      <fill>
        <patternFill patternType="solid">
          <fgColor rgb="00DCFCE7"/>
        </patternFill>
      </fill>
    </dxf>
    <dxf>
      <font>
        <name val="Calibri"/>
        <color rgb="007F1D1D"/>
        <sz val="9"/>
      </font>
      <fill>
        <patternFill patternType="solid">
          <fgColor rgb="00FEE2E2"/>
        </patternFill>
      </fill>
    </dxf>
    <dxf>
      <font>
        <name val="Calibri"/>
        <color rgb="0078350F"/>
        <sz val="9"/>
      </font>
      <fill>
        <patternFill patternType="solid">
          <fgColor rgb="00FEF9C3"/>
        </patternFill>
      </fill>
    </dxf>
    <dxf>
      <font>
        <name val="Calibri"/>
        <color rgb="001E40AF"/>
        <sz val="9"/>
      </font>
      <fill>
        <patternFill patternType="solid">
          <fgColor rgb="00DBEAFE"/>
        </patternFill>
      </fill>
    </dxf>
    <dxf>
      <font>
        <name val="Calibri"/>
        <color rgb="0064748B"/>
        <sz val="9"/>
      </font>
      <fill>
        <patternFill patternType="solid">
          <fgColor rgb="00F8FAF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Statut des tests par module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'DASHBOARD'!C6</f>
            </strRef>
          </tx>
          <spPr>
            <a:solidFill xmlns:a="http://schemas.openxmlformats.org/drawingml/2006/main">
              <a:srgbClr val="16A34A"/>
            </a:solidFill>
            <a:ln xmlns:a="http://schemas.openxmlformats.org/drawingml/2006/main">
              <a:solidFill>
                <a:srgbClr val="16A34A"/>
              </a:solidFill>
              <a:prstDash val="solid"/>
            </a:ln>
          </spPr>
          <cat>
            <numRef>
              <f>'DASHBOARD'!$A$7:$A$23</f>
            </numRef>
          </cat>
          <val>
            <numRef>
              <f>'DASHBOARD'!$C$7:$C$23</f>
            </numRef>
          </val>
        </ser>
        <ser>
          <idx val="1"/>
          <order val="1"/>
          <tx>
            <strRef>
              <f>'DASHBOARD'!D6</f>
            </strRef>
          </tx>
          <spPr>
            <a:solidFill xmlns:a="http://schemas.openxmlformats.org/drawingml/2006/main">
              <a:srgbClr val="DC2626"/>
            </a:solidFill>
            <a:ln xmlns:a="http://schemas.openxmlformats.org/drawingml/2006/main">
              <a:solidFill>
                <a:srgbClr val="DC2626"/>
              </a:solidFill>
              <a:prstDash val="solid"/>
            </a:ln>
          </spPr>
          <cat>
            <numRef>
              <f>'DASHBOARD'!$A$7:$A$23</f>
            </numRef>
          </cat>
          <val>
            <numRef>
              <f>'DASHBOARD'!$D$7:$D$23</f>
            </numRef>
          </val>
        </ser>
        <ser>
          <idx val="2"/>
          <order val="2"/>
          <tx>
            <strRef>
              <f>'DASHBOARD'!E6</f>
            </strRef>
          </tx>
          <spPr>
            <a:solidFill xmlns:a="http://schemas.openxmlformats.org/drawingml/2006/main">
              <a:srgbClr val="D97706"/>
            </a:solidFill>
            <a:ln xmlns:a="http://schemas.openxmlformats.org/drawingml/2006/main">
              <a:solidFill>
                <a:srgbClr val="D97706"/>
              </a:solidFill>
              <a:prstDash val="solid"/>
            </a:ln>
          </spPr>
          <cat>
            <numRef>
              <f>'DASHBOARD'!$A$7:$A$23</f>
            </numRef>
          </cat>
          <val>
            <numRef>
              <f>'DASHBOARD'!$E$7:$E$23</f>
            </numRef>
          </val>
        </ser>
        <ser>
          <idx val="3"/>
          <order val="3"/>
          <tx>
            <strRef>
              <f>'DASHBOARD'!F6</f>
            </strRef>
          </tx>
          <spPr>
            <a:solidFill xmlns:a="http://schemas.openxmlformats.org/drawingml/2006/main">
              <a:srgbClr val="2563EB"/>
            </a:solidFill>
            <a:ln xmlns:a="http://schemas.openxmlformats.org/drawingml/2006/main">
              <a:solidFill>
                <a:srgbClr val="2563EB"/>
              </a:solidFill>
              <a:prstDash val="solid"/>
            </a:ln>
          </spPr>
          <cat>
            <numRef>
              <f>'DASHBOARD'!$A$7:$A$23</f>
            </numRef>
          </cat>
          <val>
            <numRef>
              <f>'DASHBOARD'!$F$7:$F$23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Module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Nb scénarios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Distribution globale des statuts</a:t>
            </a:r>
          </a:p>
        </rich>
      </tx>
    </title>
    <plotArea>
      <pie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16A34A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DC2626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D97706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2563EB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94A3B8"/>
              </a:solidFill>
              <a:ln xmlns:a="http://schemas.openxmlformats.org/drawingml/2006/main">
                <a:prstDash val="solid"/>
              </a:ln>
            </spPr>
          </dPt>
          <cat>
            <numRef>
              <f>'DASHBOARD'!$C$6:$G$6</f>
            </numRef>
          </cat>
          <val>
            <numRef>
              <f>'DASHBOARD'!$C$24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cat>
            <numRef>
              <f>'DASHBOARD'!$C$6:$G$6</f>
            </numRef>
          </cat>
          <val>
            <numRef>
              <f>'DASHBOARD'!$D$24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cat>
            <numRef>
              <f>'DASHBOARD'!$C$6:$G$6</f>
            </numRef>
          </cat>
          <val>
            <numRef>
              <f>'DASHBOARD'!$E$24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cat>
            <numRef>
              <f>'DASHBOARD'!$C$6:$G$6</f>
            </numRef>
          </cat>
          <val>
            <numRef>
              <f>'DASHBOARD'!$F$24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cat>
            <numRef>
              <f>'DASHBOARD'!$C$6:$G$6</f>
            </numRef>
          </cat>
          <val>
            <numRef>
              <f>'DASHBOARD'!$G$24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image" Target="/xl/media/image1.png" Id="rId3"/></Relationships>
</file>

<file path=xl/drawings/drawing1.xml><?xml version="1.0" encoding="utf-8"?>
<wsDr xmlns="http://schemas.openxmlformats.org/drawingml/2006/spreadsheetDrawing">
  <oneCellAnchor>
    <from>
      <col>0</col>
      <colOff>0</colOff>
      <row>31</row>
      <rowOff>0</rowOff>
    </from>
    <ext cx="648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4</col>
      <colOff>0</colOff>
      <row>31</row>
      <rowOff>0</rowOff>
    </from>
    <ext cx="4320000" cy="43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0</row>
      <rowOff>0</rowOff>
    </from>
    <ext cx="1524000" cy="571500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9"/>
  <sheetViews>
    <sheetView showGridLines="0" zoomScale="100" workbookViewId="0">
      <selection activeCell="A1" sqref="A1"/>
    </sheetView>
  </sheetViews>
  <sheetFormatPr baseColWidth="8" defaultRowHeight="15"/>
  <cols>
    <col width="28" customWidth="1" min="1" max="1"/>
    <col width="1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4" customWidth="1" min="9" max="9"/>
  </cols>
  <sheetData>
    <row r="1" ht="50" customHeight="1">
      <c r="C1" s="1" t="inlineStr">
        <is>
          <t>NexusRH CI — Cahier de Recettes Officiel
OpenLab Consulting · v1.0</t>
        </is>
      </c>
    </row>
    <row r="2" ht="50" customHeight="1"/>
    <row r="3" ht="20" customHeight="1">
      <c r="C3" s="2" t="inlineStr">
        <is>
          <t>Généré le 15/05/2026  ·  Couverture cible : 100% des fonctionnalités</t>
        </is>
      </c>
    </row>
    <row r="5" ht="22" customHeight="1">
      <c r="A5" s="3" t="inlineStr">
        <is>
          <t xml:space="preserve">  RÉSUMÉ PAR MODULE</t>
        </is>
      </c>
    </row>
    <row r="6" ht="20" customHeight="1">
      <c r="A6" s="4" t="inlineStr">
        <is>
          <t>Module</t>
        </is>
      </c>
      <c r="B6" s="5" t="inlineStr">
        <is>
          <t>Total</t>
        </is>
      </c>
      <c r="C6" s="6" t="inlineStr">
        <is>
          <t>✅ Passé</t>
        </is>
      </c>
      <c r="D6" s="7" t="inlineStr">
        <is>
          <t>❌ Échoué</t>
        </is>
      </c>
      <c r="E6" s="8" t="inlineStr">
        <is>
          <t>⚠️ Bloqué</t>
        </is>
      </c>
      <c r="F6" s="9" t="inlineStr">
        <is>
          <t>▶️ En cours</t>
        </is>
      </c>
      <c r="G6" s="5" t="inlineStr">
        <is>
          <t>⬜ Non exécuté</t>
        </is>
      </c>
      <c r="H6" s="5" t="inlineStr">
        <is>
          <t>% Réussite</t>
        </is>
      </c>
      <c r="I6" s="5" t="inlineStr">
        <is>
          <t>Statut</t>
        </is>
      </c>
    </row>
    <row r="7" ht="18" customHeight="1">
      <c r="A7" s="10" t="inlineStr">
        <is>
          <t>Authentification</t>
        </is>
      </c>
      <c r="B7" s="11">
        <f>COUNTA('AUTH'!A:A)-2</f>
        <v/>
      </c>
      <c r="C7" s="12">
        <f>COUNTIF('AUTH'!I:I,"✅ Passé")</f>
        <v/>
      </c>
      <c r="D7" s="12">
        <f>COUNTIF('AUTH'!I:I,"❌ Échoué")</f>
        <v/>
      </c>
      <c r="E7" s="12">
        <f>COUNTIF('AUTH'!I:I,"⚠️ Bloqué")</f>
        <v/>
      </c>
      <c r="F7" s="12">
        <f>COUNTIF('AUTH'!I:I,"▶️ En cours")</f>
        <v/>
      </c>
      <c r="G7" s="12">
        <f>COUNTIF('AUTH'!I:I,"⬜ Non exécuté")</f>
        <v/>
      </c>
      <c r="H7" s="13">
        <f>IF(B7=0,0,C7/B7)</f>
        <v/>
      </c>
      <c r="I7" s="12">
        <f>IF(H7=1,"🟢 Complet",IF(H7&gt;0.7,"🟡 Avancé",IF(H7&gt;0,"🟠 En cours","⬜ À faire")))</f>
        <v/>
      </c>
    </row>
    <row r="8" ht="18" customHeight="1">
      <c r="A8" s="14" t="inlineStr">
        <is>
          <t>Portail Super Admin</t>
        </is>
      </c>
      <c r="B8" s="11">
        <f>COUNTA('PLT'!A:A)-2</f>
        <v/>
      </c>
      <c r="C8" s="12">
        <f>COUNTIF('PLT'!I:I,"✅ Passé")</f>
        <v/>
      </c>
      <c r="D8" s="12">
        <f>COUNTIF('PLT'!I:I,"❌ Échoué")</f>
        <v/>
      </c>
      <c r="E8" s="12">
        <f>COUNTIF('PLT'!I:I,"⚠️ Bloqué")</f>
        <v/>
      </c>
      <c r="F8" s="12">
        <f>COUNTIF('PLT'!I:I,"▶️ En cours")</f>
        <v/>
      </c>
      <c r="G8" s="12">
        <f>COUNTIF('PLT'!I:I,"⬜ Non exécuté")</f>
        <v/>
      </c>
      <c r="H8" s="13">
        <f>IF(B8=0,0,C8/B8)</f>
        <v/>
      </c>
      <c r="I8" s="12">
        <f>IF(H8=1,"🟢 Complet",IF(H8&gt;0.7,"🟡 Avancé",IF(H8&gt;0,"🟠 En cours","⬜ À faire")))</f>
        <v/>
      </c>
    </row>
    <row r="9" ht="18" customHeight="1">
      <c r="A9" s="10" t="inlineStr">
        <is>
          <t>Employés</t>
        </is>
      </c>
      <c r="B9" s="11">
        <f>COUNTA('EMP'!A:A)-2</f>
        <v/>
      </c>
      <c r="C9" s="12">
        <f>COUNTIF('EMP'!I:I,"✅ Passé")</f>
        <v/>
      </c>
      <c r="D9" s="12">
        <f>COUNTIF('EMP'!I:I,"❌ Échoué")</f>
        <v/>
      </c>
      <c r="E9" s="12">
        <f>COUNTIF('EMP'!I:I,"⚠️ Bloqué")</f>
        <v/>
      </c>
      <c r="F9" s="12">
        <f>COUNTIF('EMP'!I:I,"▶️ En cours")</f>
        <v/>
      </c>
      <c r="G9" s="12">
        <f>COUNTIF('EMP'!I:I,"⬜ Non exécuté")</f>
        <v/>
      </c>
      <c r="H9" s="13">
        <f>IF(B9=0,0,C9/B9)</f>
        <v/>
      </c>
      <c r="I9" s="12">
        <f>IF(H9=1,"🟢 Complet",IF(H9&gt;0.7,"🟡 Avancé",IF(H9&gt;0,"🟠 En cours","⬜ À faire")))</f>
        <v/>
      </c>
    </row>
    <row r="10" ht="18" customHeight="1">
      <c r="A10" s="14" t="inlineStr">
        <is>
          <t>Paie CI (CNPS+ITS)</t>
        </is>
      </c>
      <c r="B10" s="11">
        <f>COUNTA('PAY'!A:A)-2</f>
        <v/>
      </c>
      <c r="C10" s="12">
        <f>COUNTIF('PAY'!I:I,"✅ Passé")</f>
        <v/>
      </c>
      <c r="D10" s="12">
        <f>COUNTIF('PAY'!I:I,"❌ Échoué")</f>
        <v/>
      </c>
      <c r="E10" s="12">
        <f>COUNTIF('PAY'!I:I,"⚠️ Bloqué")</f>
        <v/>
      </c>
      <c r="F10" s="12">
        <f>COUNTIF('PAY'!I:I,"▶️ En cours")</f>
        <v/>
      </c>
      <c r="G10" s="12">
        <f>COUNTIF('PAY'!I:I,"⬜ Non exécuté")</f>
        <v/>
      </c>
      <c r="H10" s="13">
        <f>IF(B10=0,0,C10/B10)</f>
        <v/>
      </c>
      <c r="I10" s="12">
        <f>IF(H10=1,"🟢 Complet",IF(H10&gt;0.7,"🟡 Avancé",IF(H10&gt;0,"🟠 En cours","⬜ À faire")))</f>
        <v/>
      </c>
    </row>
    <row r="11" ht="18" customHeight="1">
      <c r="A11" s="10" t="inlineStr">
        <is>
          <t>Absences</t>
        </is>
      </c>
      <c r="B11" s="11">
        <f>COUNTA('ABS'!A:A)-2</f>
        <v/>
      </c>
      <c r="C11" s="12">
        <f>COUNTIF('ABS'!I:I,"✅ Passé")</f>
        <v/>
      </c>
      <c r="D11" s="12">
        <f>COUNTIF('ABS'!I:I,"❌ Échoué")</f>
        <v/>
      </c>
      <c r="E11" s="12">
        <f>COUNTIF('ABS'!I:I,"⚠️ Bloqué")</f>
        <v/>
      </c>
      <c r="F11" s="12">
        <f>COUNTIF('ABS'!I:I,"▶️ En cours")</f>
        <v/>
      </c>
      <c r="G11" s="12">
        <f>COUNTIF('ABS'!I:I,"⬜ Non exécuté")</f>
        <v/>
      </c>
      <c r="H11" s="13">
        <f>IF(B11=0,0,C11/B11)</f>
        <v/>
      </c>
      <c r="I11" s="12">
        <f>IF(H11=1,"🟢 Complet",IF(H11&gt;0.7,"🟡 Avancé",IF(H11&gt;0,"🟠 En cours","⬜ À faire")))</f>
        <v/>
      </c>
    </row>
    <row r="12" ht="18" customHeight="1">
      <c r="A12" s="14" t="inlineStr">
        <is>
          <t>Recrutement</t>
        </is>
      </c>
      <c r="B12" s="11">
        <f>COUNTA('REC'!A:A)-2</f>
        <v/>
      </c>
      <c r="C12" s="12">
        <f>COUNTIF('REC'!I:I,"✅ Passé")</f>
        <v/>
      </c>
      <c r="D12" s="12">
        <f>COUNTIF('REC'!I:I,"❌ Échoué")</f>
        <v/>
      </c>
      <c r="E12" s="12">
        <f>COUNTIF('REC'!I:I,"⚠️ Bloqué")</f>
        <v/>
      </c>
      <c r="F12" s="12">
        <f>COUNTIF('REC'!I:I,"▶️ En cours")</f>
        <v/>
      </c>
      <c r="G12" s="12">
        <f>COUNTIF('REC'!I:I,"⬜ Non exécuté")</f>
        <v/>
      </c>
      <c r="H12" s="13">
        <f>IF(B12=0,0,C12/B12)</f>
        <v/>
      </c>
      <c r="I12" s="12">
        <f>IF(H12=1,"🟢 Complet",IF(H12&gt;0.7,"🟡 Avancé",IF(H12&gt;0,"🟠 En cours","⬜ À faire")))</f>
        <v/>
      </c>
    </row>
    <row r="13" ht="18" customHeight="1">
      <c r="A13" s="10" t="inlineStr">
        <is>
          <t>Formation / FDFP</t>
        </is>
      </c>
      <c r="B13" s="11">
        <f>COUNTA('FRM'!A:A)-2</f>
        <v/>
      </c>
      <c r="C13" s="12">
        <f>COUNTIF('FRM'!I:I,"✅ Passé")</f>
        <v/>
      </c>
      <c r="D13" s="12">
        <f>COUNTIF('FRM'!I:I,"❌ Échoué")</f>
        <v/>
      </c>
      <c r="E13" s="12">
        <f>COUNTIF('FRM'!I:I,"⚠️ Bloqué")</f>
        <v/>
      </c>
      <c r="F13" s="12">
        <f>COUNTIF('FRM'!I:I,"▶️ En cours")</f>
        <v/>
      </c>
      <c r="G13" s="12">
        <f>COUNTIF('FRM'!I:I,"⬜ Non exécuté")</f>
        <v/>
      </c>
      <c r="H13" s="13">
        <f>IF(B13=0,0,C13/B13)</f>
        <v/>
      </c>
      <c r="I13" s="12">
        <f>IF(H13=1,"🟢 Complet",IF(H13&gt;0.7,"🟡 Avancé",IF(H13&gt;0,"🟠 En cours","⬜ À faire")))</f>
        <v/>
      </c>
    </row>
    <row r="14" ht="18" customHeight="1">
      <c r="A14" s="14" t="inlineStr">
        <is>
          <t>Notes de Frais</t>
        </is>
      </c>
      <c r="B14" s="11">
        <f>COUNTA('FRA'!A:A)-2</f>
        <v/>
      </c>
      <c r="C14" s="12">
        <f>COUNTIF('FRA'!I:I,"✅ Passé")</f>
        <v/>
      </c>
      <c r="D14" s="12">
        <f>COUNTIF('FRA'!I:I,"❌ Échoué")</f>
        <v/>
      </c>
      <c r="E14" s="12">
        <f>COUNTIF('FRA'!I:I,"⚠️ Bloqué")</f>
        <v/>
      </c>
      <c r="F14" s="12">
        <f>COUNTIF('FRA'!I:I,"▶️ En cours")</f>
        <v/>
      </c>
      <c r="G14" s="12">
        <f>COUNTIF('FRA'!I:I,"⬜ Non exécuté")</f>
        <v/>
      </c>
      <c r="H14" s="13">
        <f>IF(B14=0,0,C14/B14)</f>
        <v/>
      </c>
      <c r="I14" s="12">
        <f>IF(H14=1,"🟢 Complet",IF(H14&gt;0.7,"🟡 Avancé",IF(H14&gt;0,"🟠 En cours","⬜ À faire")))</f>
        <v/>
      </c>
    </row>
    <row r="15" ht="18" customHeight="1">
      <c r="A15" s="10" t="inlineStr">
        <is>
          <t>Carrières</t>
        </is>
      </c>
      <c r="B15" s="11">
        <f>COUNTA('CAR'!A:A)-2</f>
        <v/>
      </c>
      <c r="C15" s="12">
        <f>COUNTIF('CAR'!I:I,"✅ Passé")</f>
        <v/>
      </c>
      <c r="D15" s="12">
        <f>COUNTIF('CAR'!I:I,"❌ Échoué")</f>
        <v/>
      </c>
      <c r="E15" s="12">
        <f>COUNTIF('CAR'!I:I,"⚠️ Bloqué")</f>
        <v/>
      </c>
      <c r="F15" s="12">
        <f>COUNTIF('CAR'!I:I,"▶️ En cours")</f>
        <v/>
      </c>
      <c r="G15" s="12">
        <f>COUNTIF('CAR'!I:I,"⬜ Non exécuté")</f>
        <v/>
      </c>
      <c r="H15" s="13">
        <f>IF(B15=0,0,C15/B15)</f>
        <v/>
      </c>
      <c r="I15" s="12">
        <f>IF(H15=1,"🟢 Complet",IF(H15&gt;0.7,"🟡 Avancé",IF(H15&gt;0,"🟠 En cours","⬜ À faire")))</f>
        <v/>
      </c>
    </row>
    <row r="16" ht="18" customHeight="1">
      <c r="A16" s="14" t="inlineStr">
        <is>
          <t>CNPS &amp; DISA</t>
        </is>
      </c>
      <c r="B16" s="11">
        <f>COUNTA('CNP'!A:A)-2</f>
        <v/>
      </c>
      <c r="C16" s="12">
        <f>COUNTIF('CNP'!I:I,"✅ Passé")</f>
        <v/>
      </c>
      <c r="D16" s="12">
        <f>COUNTIF('CNP'!I:I,"❌ Échoué")</f>
        <v/>
      </c>
      <c r="E16" s="12">
        <f>COUNTIF('CNP'!I:I,"⚠️ Bloqué")</f>
        <v/>
      </c>
      <c r="F16" s="12">
        <f>COUNTIF('CNP'!I:I,"▶️ En cours")</f>
        <v/>
      </c>
      <c r="G16" s="12">
        <f>COUNTIF('CNP'!I:I,"⬜ Non exécuté")</f>
        <v/>
      </c>
      <c r="H16" s="13">
        <f>IF(B16=0,0,C16/B16)</f>
        <v/>
      </c>
      <c r="I16" s="12">
        <f>IF(H16=1,"🟢 Complet",IF(H16&gt;0.7,"🟡 Avancé",IF(H16&gt;0,"🟠 En cours","⬜ À faire")))</f>
        <v/>
      </c>
    </row>
    <row r="17" ht="18" customHeight="1">
      <c r="A17" s="10" t="inlineStr">
        <is>
          <t>Mobile Money</t>
        </is>
      </c>
      <c r="B17" s="11">
        <f>COUNTA('MM'!A:A)-2</f>
        <v/>
      </c>
      <c r="C17" s="12">
        <f>COUNTIF('MM'!I:I,"✅ Passé")</f>
        <v/>
      </c>
      <c r="D17" s="12">
        <f>COUNTIF('MM'!I:I,"❌ Échoué")</f>
        <v/>
      </c>
      <c r="E17" s="12">
        <f>COUNTIF('MM'!I:I,"⚠️ Bloqué")</f>
        <v/>
      </c>
      <c r="F17" s="12">
        <f>COUNTIF('MM'!I:I,"▶️ En cours")</f>
        <v/>
      </c>
      <c r="G17" s="12">
        <f>COUNTIF('MM'!I:I,"⬜ Non exécuté")</f>
        <v/>
      </c>
      <c r="H17" s="13">
        <f>IF(B17=0,0,C17/B17)</f>
        <v/>
      </c>
      <c r="I17" s="12">
        <f>IF(H17=1,"🟢 Complet",IF(H17&gt;0.7,"🟡 Avancé",IF(H17&gt;0,"🟠 En cours","⬜ À faire")))</f>
        <v/>
      </c>
    </row>
    <row r="18" ht="18" customHeight="1">
      <c r="A18" s="14" t="inlineStr">
        <is>
          <t>Assistant IA</t>
        </is>
      </c>
      <c r="B18" s="11">
        <f>COUNTA('AI'!A:A)-2</f>
        <v/>
      </c>
      <c r="C18" s="12">
        <f>COUNTIF('AI'!I:I,"✅ Passé")</f>
        <v/>
      </c>
      <c r="D18" s="12">
        <f>COUNTIF('AI'!I:I,"❌ Échoué")</f>
        <v/>
      </c>
      <c r="E18" s="12">
        <f>COUNTIF('AI'!I:I,"⚠️ Bloqué")</f>
        <v/>
      </c>
      <c r="F18" s="12">
        <f>COUNTIF('AI'!I:I,"▶️ En cours")</f>
        <v/>
      </c>
      <c r="G18" s="12">
        <f>COUNTIF('AI'!I:I,"⬜ Non exécuté")</f>
        <v/>
      </c>
      <c r="H18" s="13">
        <f>IF(B18=0,0,C18/B18)</f>
        <v/>
      </c>
      <c r="I18" s="12">
        <f>IF(H18=1,"🟢 Complet",IF(H18&gt;0.7,"🟡 Avancé",IF(H18&gt;0,"🟠 En cours","⬜ À faire")))</f>
        <v/>
      </c>
    </row>
    <row r="19" ht="18" customHeight="1">
      <c r="A19" s="10" t="inlineStr">
        <is>
          <t>Reporting</t>
        </is>
      </c>
      <c r="B19" s="11">
        <f>COUNTA('REP'!A:A)-2</f>
        <v/>
      </c>
      <c r="C19" s="12">
        <f>COUNTIF('REP'!I:I,"✅ Passé")</f>
        <v/>
      </c>
      <c r="D19" s="12">
        <f>COUNTIF('REP'!I:I,"❌ Échoué")</f>
        <v/>
      </c>
      <c r="E19" s="12">
        <f>COUNTIF('REP'!I:I,"⚠️ Bloqué")</f>
        <v/>
      </c>
      <c r="F19" s="12">
        <f>COUNTIF('REP'!I:I,"▶️ En cours")</f>
        <v/>
      </c>
      <c r="G19" s="12">
        <f>COUNTIF('REP'!I:I,"⬜ Non exécuté")</f>
        <v/>
      </c>
      <c r="H19" s="13">
        <f>IF(B19=0,0,C19/B19)</f>
        <v/>
      </c>
      <c r="I19" s="12">
        <f>IF(H19=1,"🟢 Complet",IF(H19&gt;0.7,"🟡 Avancé",IF(H19&gt;0,"🟠 En cours","⬜ À faire")))</f>
        <v/>
      </c>
    </row>
    <row r="20" ht="18" customHeight="1">
      <c r="A20" s="14" t="inlineStr">
        <is>
          <t>Paramètres</t>
        </is>
      </c>
      <c r="B20" s="11">
        <f>COUNTA('SET'!A:A)-2</f>
        <v/>
      </c>
      <c r="C20" s="12">
        <f>COUNTIF('SET'!I:I,"✅ Passé")</f>
        <v/>
      </c>
      <c r="D20" s="12">
        <f>COUNTIF('SET'!I:I,"❌ Échoué")</f>
        <v/>
      </c>
      <c r="E20" s="12">
        <f>COUNTIF('SET'!I:I,"⚠️ Bloqué")</f>
        <v/>
      </c>
      <c r="F20" s="12">
        <f>COUNTIF('SET'!I:I,"▶️ En cours")</f>
        <v/>
      </c>
      <c r="G20" s="12">
        <f>COUNTIF('SET'!I:I,"⬜ Non exécuté")</f>
        <v/>
      </c>
      <c r="H20" s="13">
        <f>IF(B20=0,0,C20/B20)</f>
        <v/>
      </c>
      <c r="I20" s="12">
        <f>IF(H20=1,"🟢 Complet",IF(H20&gt;0.7,"🟡 Avancé",IF(H20&gt;0,"🟠 En cours","⬜ À faire")))</f>
        <v/>
      </c>
    </row>
    <row r="21" ht="18" customHeight="1">
      <c r="A21" s="10" t="inlineStr">
        <is>
          <t>RBAC</t>
        </is>
      </c>
      <c r="B21" s="11">
        <f>COUNTA('RBA'!A:A)-2</f>
        <v/>
      </c>
      <c r="C21" s="12">
        <f>COUNTIF('RBA'!I:I,"✅ Passé")</f>
        <v/>
      </c>
      <c r="D21" s="12">
        <f>COUNTIF('RBA'!I:I,"❌ Échoué")</f>
        <v/>
      </c>
      <c r="E21" s="12">
        <f>COUNTIF('RBA'!I:I,"⚠️ Bloqué")</f>
        <v/>
      </c>
      <c r="F21" s="12">
        <f>COUNTIF('RBA'!I:I,"▶️ En cours")</f>
        <v/>
      </c>
      <c r="G21" s="12">
        <f>COUNTIF('RBA'!I:I,"⬜ Non exécuté")</f>
        <v/>
      </c>
      <c r="H21" s="13">
        <f>IF(B21=0,0,C21/B21)</f>
        <v/>
      </c>
      <c r="I21" s="12">
        <f>IF(H21=1,"🟢 Complet",IF(H21&gt;0.7,"🟡 Avancé",IF(H21&gt;0,"🟠 En cours","⬜ À faire")))</f>
        <v/>
      </c>
    </row>
    <row r="22" ht="18" customHeight="1">
      <c r="A22" s="14" t="inlineStr">
        <is>
          <t>Espace Employé</t>
        </is>
      </c>
      <c r="B22" s="11">
        <f>COUNTA('ESP'!A:A)-2</f>
        <v/>
      </c>
      <c r="C22" s="12">
        <f>COUNTIF('ESP'!I:I,"✅ Passé")</f>
        <v/>
      </c>
      <c r="D22" s="12">
        <f>COUNTIF('ESP'!I:I,"❌ Échoué")</f>
        <v/>
      </c>
      <c r="E22" s="12">
        <f>COUNTIF('ESP'!I:I,"⚠️ Bloqué")</f>
        <v/>
      </c>
      <c r="F22" s="12">
        <f>COUNTIF('ESP'!I:I,"▶️ En cours")</f>
        <v/>
      </c>
      <c r="G22" s="12">
        <f>COUNTIF('ESP'!I:I,"⬜ Non exécuté")</f>
        <v/>
      </c>
      <c r="H22" s="13">
        <f>IF(B22=0,0,C22/B22)</f>
        <v/>
      </c>
      <c r="I22" s="12">
        <f>IF(H22=1,"🟢 Complet",IF(H22&gt;0.7,"🟡 Avancé",IF(H22&gt;0,"🟠 En cours","⬜ À faire")))</f>
        <v/>
      </c>
    </row>
    <row r="23" ht="18" customHeight="1">
      <c r="A23" s="10" t="inlineStr">
        <is>
          <t>End-to-End</t>
        </is>
      </c>
      <c r="B23" s="11">
        <f>COUNTA('E2E'!A:A)-2</f>
        <v/>
      </c>
      <c r="C23" s="12">
        <f>COUNTIF('E2E'!I:I,"✅ Passé")</f>
        <v/>
      </c>
      <c r="D23" s="12">
        <f>COUNTIF('E2E'!I:I,"❌ Échoué")</f>
        <v/>
      </c>
      <c r="E23" s="12">
        <f>COUNTIF('E2E'!I:I,"⚠️ Bloqué")</f>
        <v/>
      </c>
      <c r="F23" s="12">
        <f>COUNTIF('E2E'!I:I,"▶️ En cours")</f>
        <v/>
      </c>
      <c r="G23" s="12">
        <f>COUNTIF('E2E'!I:I,"⬜ Non exécuté")</f>
        <v/>
      </c>
      <c r="H23" s="13">
        <f>IF(B23=0,0,C23/B23)</f>
        <v/>
      </c>
      <c r="I23" s="12">
        <f>IF(H23=1,"🟢 Complet",IF(H23&gt;0.7,"🟡 Avancé",IF(H23&gt;0,"🟠 En cours","⬜ À faire")))</f>
        <v/>
      </c>
    </row>
    <row r="24" ht="20" customHeight="1">
      <c r="A24" s="15" t="inlineStr">
        <is>
          <t>TOTAL GLOBAL</t>
        </is>
      </c>
      <c r="B24" s="16">
        <f>SUM(B7:B23)</f>
        <v/>
      </c>
      <c r="C24" s="16">
        <f>SUM(C7:C23)</f>
        <v/>
      </c>
      <c r="D24" s="16">
        <f>SUM(D7:D23)</f>
        <v/>
      </c>
      <c r="E24" s="16">
        <f>SUM(E7:E23)</f>
        <v/>
      </c>
      <c r="F24" s="16">
        <f>SUM(F7:F23)</f>
        <v/>
      </c>
      <c r="G24" s="16">
        <f>SUM(G7:G23)</f>
        <v/>
      </c>
      <c r="H24" s="17">
        <f>IF(B24=0,0,C24/B24)</f>
        <v/>
      </c>
    </row>
    <row r="27" ht="22" customHeight="1">
      <c r="A27" s="3" t="inlineStr">
        <is>
          <t xml:space="preserve">  INDICATEURS CLÉS EN TEMPS RÉEL</t>
        </is>
      </c>
    </row>
    <row r="28" ht="50" customHeight="1">
      <c r="A28" s="18" t="inlineStr">
        <is>
          <t>Total scénarios</t>
        </is>
      </c>
      <c r="B28" s="19" t="inlineStr">
        <is>
          <t>✅ Passés</t>
        </is>
      </c>
      <c r="C28" s="20" t="inlineStr">
        <is>
          <t>❌ Échoués</t>
        </is>
      </c>
      <c r="D28" s="21" t="inlineStr">
        <is>
          <t>⚠️ Bloqués</t>
        </is>
      </c>
      <c r="E28" s="22" t="inlineStr">
        <is>
          <t>▶️ En cours</t>
        </is>
      </c>
      <c r="F28" s="23" t="inlineStr">
        <is>
          <t>⬜ Non exécutés</t>
        </is>
      </c>
      <c r="G28" s="19" t="inlineStr">
        <is>
          <t>% Réussite</t>
        </is>
      </c>
      <c r="H28" s="24" t="inlineStr">
        <is>
          <t>Couverture</t>
        </is>
      </c>
    </row>
    <row r="29" ht="40" customHeight="1">
      <c r="A29" s="25">
        <f>B24</f>
        <v/>
      </c>
      <c r="B29" s="26">
        <f>C24</f>
        <v/>
      </c>
      <c r="C29" s="27">
        <f>D24</f>
        <v/>
      </c>
      <c r="D29" s="28">
        <f>E24</f>
        <v/>
      </c>
      <c r="E29" s="29">
        <f>F24</f>
        <v/>
      </c>
      <c r="F29" s="30">
        <f>G24</f>
        <v/>
      </c>
      <c r="G29" s="31">
        <f>H24</f>
        <v/>
      </c>
      <c r="H29" s="32">
        <f>TEXT(1-G24/B24,"0%")</f>
        <v/>
      </c>
    </row>
  </sheetData>
  <mergeCells count="4">
    <mergeCell ref="A27:I27"/>
    <mergeCell ref="C3:I3"/>
    <mergeCell ref="C1:I2"/>
    <mergeCell ref="A5:I5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4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30" customWidth="1" min="3" max="3"/>
  </cols>
  <sheetData>
    <row r="1" ht="26" customHeight="1">
      <c r="A1" s="33" t="inlineStr">
        <is>
          <t>MODE D'EMPLOI — NexusRH CI Cahier de Recettes</t>
        </is>
      </c>
    </row>
    <row r="3" ht="18" customHeight="1">
      <c r="A3" s="34" t="inlineStr">
        <is>
          <t xml:space="preserve">  STATUTS DE TEST</t>
        </is>
      </c>
    </row>
    <row r="4" ht="18" customHeight="1">
      <c r="A4" s="35" t="inlineStr">
        <is>
          <t>Statut</t>
        </is>
      </c>
      <c r="B4" s="35" t="inlineStr">
        <is>
          <t>Signification</t>
        </is>
      </c>
      <c r="C4" s="35" t="inlineStr">
        <is>
          <t>Couleur</t>
        </is>
      </c>
    </row>
    <row r="5" ht="18" customHeight="1">
      <c r="A5" s="36" t="inlineStr">
        <is>
          <t>✅ Passé</t>
        </is>
      </c>
      <c r="B5" s="36" t="inlineStr">
        <is>
          <t>Test exécuté et résultat conforme</t>
        </is>
      </c>
      <c r="C5" s="36" t="inlineStr">
        <is>
          <t>Vert</t>
        </is>
      </c>
    </row>
    <row r="6" ht="18" customHeight="1">
      <c r="A6" s="37" t="inlineStr">
        <is>
          <t>❌ Échoué</t>
        </is>
      </c>
      <c r="B6" s="37" t="inlineStr">
        <is>
          <t>Résultat non conforme — bug identifié</t>
        </is>
      </c>
      <c r="C6" s="37" t="inlineStr">
        <is>
          <t>Rouge</t>
        </is>
      </c>
    </row>
    <row r="7" ht="18" customHeight="1">
      <c r="A7" s="36" t="inlineStr">
        <is>
          <t>⚠️ Bloqué</t>
        </is>
      </c>
      <c r="B7" s="36" t="inlineStr">
        <is>
          <t>Test non exécutable (dépendance manquante)</t>
        </is>
      </c>
      <c r="C7" s="36" t="inlineStr">
        <is>
          <t>Jaune</t>
        </is>
      </c>
    </row>
    <row r="8" ht="18" customHeight="1">
      <c r="A8" s="37" t="inlineStr">
        <is>
          <t>▶️ En cours</t>
        </is>
      </c>
      <c r="B8" s="37" t="inlineStr">
        <is>
          <t>Test en cours d'exécution</t>
        </is>
      </c>
      <c r="C8" s="37" t="inlineStr">
        <is>
          <t>Bleu</t>
        </is>
      </c>
    </row>
    <row r="9" ht="18" customHeight="1">
      <c r="A9" s="36" t="inlineStr">
        <is>
          <t>⬜ Non exécuté</t>
        </is>
      </c>
      <c r="B9" s="36" t="inlineStr">
        <is>
          <t>Test planifié, pas encore démarré</t>
        </is>
      </c>
      <c r="C9" s="36" t="inlineStr">
        <is>
          <t>Gris</t>
        </is>
      </c>
    </row>
    <row r="11" ht="18" customHeight="1">
      <c r="A11" s="34" t="inlineStr">
        <is>
          <t xml:space="preserve">  PRIORITÉS</t>
        </is>
      </c>
    </row>
    <row r="12" ht="18" customHeight="1">
      <c r="A12" s="35" t="inlineStr">
        <is>
          <t>P1 — Critique</t>
        </is>
      </c>
      <c r="B12" s="35" t="inlineStr">
        <is>
          <t>Fonctionnalité bloquante, doit passer avant release</t>
        </is>
      </c>
      <c r="C12" s="35" t="inlineStr">
        <is>
          <t>Rouge foncé</t>
        </is>
      </c>
    </row>
    <row r="13" ht="18" customHeight="1">
      <c r="A13" s="36" t="inlineStr">
        <is>
          <t>P2 — Haute</t>
        </is>
      </c>
      <c r="B13" s="36" t="inlineStr">
        <is>
          <t>Fonctionnalité importante, impact élevé si KO</t>
        </is>
      </c>
      <c r="C13" s="36" t="inlineStr">
        <is>
          <t>Amber</t>
        </is>
      </c>
    </row>
    <row r="14" ht="18" customHeight="1">
      <c r="A14" s="37" t="inlineStr">
        <is>
          <t>P3 — Moyenne</t>
        </is>
      </c>
      <c r="B14" s="37" t="inlineStr">
        <is>
          <t>Fonctionnalité utile, contournement possible</t>
        </is>
      </c>
      <c r="C14" s="37" t="inlineStr">
        <is>
          <t>Bleu</t>
        </is>
      </c>
    </row>
    <row r="15" ht="18" customHeight="1">
      <c r="A15" s="36" t="inlineStr">
        <is>
          <t>P4 — Basse</t>
        </is>
      </c>
      <c r="B15" s="36" t="inlineStr">
        <is>
          <t>Amélioration ou cas limite</t>
        </is>
      </c>
      <c r="C15" s="36" t="inlineStr">
        <is>
          <t>Vert</t>
        </is>
      </c>
    </row>
    <row r="17" ht="18" customHeight="1">
      <c r="A17" s="34" t="inlineStr">
        <is>
          <t xml:space="preserve">  REQUALIFICATION EN TICKET</t>
        </is>
      </c>
    </row>
    <row r="18" ht="18" customHeight="1">
      <c r="A18" s="37" t="inlineStr">
        <is>
          <t>Colonne 'Ticket / Requalification'</t>
        </is>
      </c>
      <c r="B18" s="37" t="inlineStr">
        <is>
          <t>Saisir le numéro de ticket (ex: NRH-123)</t>
        </is>
      </c>
      <c r="C18" s="37" t="inlineStr"/>
    </row>
    <row r="19" ht="18" customHeight="1">
      <c r="A19" s="36" t="inlineStr">
        <is>
          <t>Commentaire / Amélioration</t>
        </is>
      </c>
      <c r="B19" s="36" t="inlineStr">
        <is>
          <t>Détailler le comportement observé et suggestion</t>
        </is>
      </c>
      <c r="C19" s="36" t="inlineStr"/>
    </row>
    <row r="21" ht="18" customHeight="1">
      <c r="A21" s="34" t="inlineStr">
        <is>
          <t xml:space="preserve">  WORKFLOW DE TEST</t>
        </is>
      </c>
    </row>
    <row r="22" ht="18" customHeight="1">
      <c r="A22" s="37" t="inlineStr">
        <is>
          <t>1. Sélectionner le module (onglet)</t>
        </is>
      </c>
      <c r="B22" s="37" t="inlineStr">
        <is>
          <t>Chaque onglet = un module fonctionnel</t>
        </is>
      </c>
      <c r="C22" s="37" t="inlineStr"/>
    </row>
    <row r="23" ht="18" customHeight="1">
      <c r="A23" s="36" t="inlineStr">
        <is>
          <t>2. Exécuter chaque scénario</t>
        </is>
      </c>
      <c r="B23" s="36" t="inlineStr">
        <is>
          <t>Suivre les étapes détaillées</t>
        </is>
      </c>
      <c r="C23" s="36" t="inlineStr"/>
    </row>
    <row r="24" ht="18" customHeight="1">
      <c r="A24" s="37" t="inlineStr">
        <is>
          <t>3. Mettre à jour le Statut (colonne I)</t>
        </is>
      </c>
      <c r="B24" s="37" t="inlineStr">
        <is>
          <t>Dropdown avec les 5 statuts</t>
        </is>
      </c>
      <c r="C24" s="37" t="inlineStr"/>
    </row>
    <row r="25" ht="18" customHeight="1">
      <c r="A25" s="36" t="inlineStr">
        <is>
          <t>4. Saisir Résultat obtenu (colonne H)</t>
        </is>
      </c>
      <c r="B25" s="36" t="inlineStr">
        <is>
          <t>Comportement réel observé</t>
        </is>
      </c>
      <c r="C25" s="36" t="inlineStr"/>
    </row>
    <row r="26" ht="18" customHeight="1">
      <c r="A26" s="37" t="inlineStr">
        <is>
          <t>5. Créer un ticket si Échoué/Bloqué</t>
        </is>
      </c>
      <c r="B26" s="37" t="inlineStr">
        <is>
          <t>Saisir référence dans colonne M</t>
        </is>
      </c>
      <c r="C26" s="37" t="inlineStr"/>
    </row>
    <row r="27" ht="18" customHeight="1">
      <c r="A27" s="36" t="inlineStr">
        <is>
          <t>6. Le DASHBOARD se met à jour automatiquement</t>
        </is>
      </c>
      <c r="B27" s="36" t="inlineStr">
        <is>
          <t>Formules COUNTIF dynamiques</t>
        </is>
      </c>
      <c r="C27" s="36" t="inlineStr"/>
    </row>
    <row r="29" ht="18" customHeight="1">
      <c r="A29" s="34" t="inlineStr">
        <is>
          <t xml:space="preserve">  COMPTES DE TEST</t>
        </is>
      </c>
    </row>
    <row r="30" ht="18" customHeight="1">
      <c r="A30" s="37" t="inlineStr">
        <is>
          <t>superadmin@nexusrh-ci.com / SuperAdmin1234!</t>
        </is>
      </c>
      <c r="B30" s="37" t="inlineStr">
        <is>
          <t>Super Admin Plateforme → /platform/dashboard</t>
        </is>
      </c>
      <c r="C30" s="37" t="inlineStr"/>
    </row>
    <row r="31" ht="18" customHeight="1">
      <c r="A31" s="36" t="inlineStr">
        <is>
          <t>admin@sotra.ci / Admin1234!</t>
        </is>
      </c>
      <c r="B31" s="36" t="inlineStr">
        <is>
          <t>Admin SOTRA → /dashboard (thème orange)</t>
        </is>
      </c>
      <c r="C31" s="36" t="inlineStr"/>
    </row>
    <row r="32" ht="18" customHeight="1">
      <c r="A32" s="37" t="inlineStr">
        <is>
          <t>rh@sotra.ci / Admin1234!</t>
        </is>
      </c>
      <c r="B32" s="37" t="inlineStr">
        <is>
          <t>RH Manager SOTRA → /dashboard</t>
        </is>
      </c>
      <c r="C32" s="37" t="inlineStr"/>
    </row>
    <row r="33" ht="18" customHeight="1">
      <c r="A33" s="36" t="inlineStr">
        <is>
          <t>manager@sotra.ci / Admin1234!</t>
        </is>
      </c>
      <c r="B33" s="36" t="inlineStr">
        <is>
          <t>Manager SOTRA → /dashboard équipe</t>
        </is>
      </c>
      <c r="C33" s="36" t="inlineStr"/>
    </row>
    <row r="34" ht="18" customHeight="1">
      <c r="A34" s="37" t="inlineStr">
        <is>
          <t>employe@sotra.ci / Admin1234!</t>
        </is>
      </c>
      <c r="B34" s="37" t="inlineStr">
        <is>
          <t>Employé SOTRA → /mon-espace</t>
        </is>
      </c>
      <c r="C34" s="37" t="inlineStr"/>
    </row>
    <row r="35" ht="18" customHeight="1">
      <c r="A35" s="36" t="inlineStr">
        <is>
          <t>admin@cabinet-expertise.ci / Admin1234!</t>
        </is>
      </c>
      <c r="B35" s="36" t="inlineStr">
        <is>
          <t>Admin Cabinet Expertise CI → /dashboard</t>
        </is>
      </c>
      <c r="C35" s="36" t="inlineStr"/>
    </row>
    <row r="36" ht="18" customHeight="1">
      <c r="A36" s="37" t="inlineStr">
        <is>
          <t>employe2@cabinet-expertise.ci / Admin1234!</t>
        </is>
      </c>
      <c r="B36" s="37" t="inlineStr">
        <is>
          <t>Employé Cabinet → /mon-espace</t>
        </is>
      </c>
      <c r="C36" s="37" t="inlineStr"/>
    </row>
    <row r="37" ht="18" customHeight="1">
      <c r="A37" s="36" t="inlineStr">
        <is>
          <t>coulwao@gmail.com / Openlab2025!</t>
        </is>
      </c>
      <c r="B37" s="36" t="inlineStr">
        <is>
          <t>Admin OpenLab Consulting → /dashboard</t>
        </is>
      </c>
      <c r="C37" s="36" t="inlineStr"/>
    </row>
    <row r="39" ht="18" customHeight="1">
      <c r="A39" s="34" t="inlineStr">
        <is>
          <t xml:space="preserve">  URL PRODUCTION</t>
        </is>
      </c>
    </row>
    <row r="40" ht="18" customHeight="1">
      <c r="A40" s="37" t="inlineStr">
        <is>
          <t>https://nexusrh.openlabconsulting.com</t>
        </is>
      </c>
      <c r="B40" s="37" t="inlineStr">
        <is>
          <t>Application web NexusRH CI</t>
        </is>
      </c>
      <c r="C40" s="37" t="inlineStr"/>
    </row>
    <row r="41" ht="18" customHeight="1">
      <c r="A41" s="36" t="inlineStr">
        <is>
          <t>https://nexusrh.openlabconsulting.com/api/docs</t>
        </is>
      </c>
      <c r="B41" s="36" t="inlineStr">
        <is>
          <t>Swagger API (debug)</t>
        </is>
      </c>
      <c r="C41" s="36" t="inlineStr"/>
    </row>
  </sheetData>
  <mergeCells count="7">
    <mergeCell ref="A11:C11"/>
    <mergeCell ref="A1:C1"/>
    <mergeCell ref="A17:C17"/>
    <mergeCell ref="A3:C3"/>
    <mergeCell ref="A21:C21"/>
    <mergeCell ref="A39:C39"/>
    <mergeCell ref="A29:C2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38" customWidth="1" min="3" max="3"/>
    <col width="32" customWidth="1" min="4" max="4"/>
    <col width="30" customWidth="1" min="5" max="5"/>
    <col width="40" customWidth="1" min="6" max="6"/>
    <col width="38" customWidth="1" min="7" max="7"/>
    <col width="38" customWidth="1" min="8" max="8"/>
    <col width="18" customWidth="1" min="9" max="9"/>
    <col width="16" customWidth="1" min="10" max="10"/>
    <col width="13" customWidth="1" min="11" max="11"/>
    <col width="12" customWidth="1" min="12" max="12"/>
    <col width="24" customWidth="1" min="13" max="13"/>
    <col width="36" customWidth="1" min="14" max="14"/>
    <col width="10" customWidth="1" min="15" max="15"/>
    <col width="12" customWidth="1" min="16" max="16"/>
  </cols>
  <sheetData>
    <row r="1" ht="26" customHeight="1">
      <c r="A1" s="38" t="inlineStr">
        <is>
          <t xml:space="preserve">  AUTHENTIFICATION &amp; SÉCURITÉ  ·  18 scénarios</t>
        </is>
      </c>
    </row>
    <row r="2" ht="22" customHeight="1">
      <c r="A2" s="39" t="inlineStr">
        <is>
          <t>ID Test</t>
        </is>
      </c>
      <c r="B2" s="39" t="inlineStr">
        <is>
          <t>Priorité</t>
        </is>
      </c>
      <c r="C2" s="39" t="inlineStr">
        <is>
          <t>Titre du scénario</t>
        </is>
      </c>
      <c r="D2" s="39" t="inlineStr">
        <is>
          <t>Description / Contexte</t>
        </is>
      </c>
      <c r="E2" s="39" t="inlineStr">
        <is>
          <t>Prérequis / Données</t>
        </is>
      </c>
      <c r="F2" s="39" t="inlineStr">
        <is>
          <t>Étapes détaillées</t>
        </is>
      </c>
      <c r="G2" s="39" t="inlineStr">
        <is>
          <t>Résultat attendu</t>
        </is>
      </c>
      <c r="H2" s="39" t="inlineStr">
        <is>
          <t>Résultat obtenu</t>
        </is>
      </c>
      <c r="I2" s="39" t="inlineStr">
        <is>
          <t>Statut</t>
        </is>
      </c>
      <c r="J2" s="39" t="inlineStr">
        <is>
          <t>Testeur</t>
        </is>
      </c>
      <c r="K2" s="39" t="inlineStr">
        <is>
          <t>Date test</t>
        </is>
      </c>
      <c r="L2" s="39" t="inlineStr">
        <is>
          <t>Durée (min)</t>
        </is>
      </c>
      <c r="M2" s="39" t="inlineStr">
        <is>
          <t>Ticket / Requalification</t>
        </is>
      </c>
      <c r="N2" s="39" t="inlineStr">
        <is>
          <t>Commentaire / Amélioration</t>
        </is>
      </c>
      <c r="O2" s="39" t="inlineStr">
        <is>
          <t>Sprint</t>
        </is>
      </c>
      <c r="P2" s="39" t="inlineStr">
        <is>
          <t>Env.</t>
        </is>
      </c>
    </row>
    <row r="3" ht="58" customHeight="1">
      <c r="A3" s="4" t="inlineStr">
        <is>
          <t>AUTH-001</t>
        </is>
      </c>
      <c r="B3" s="40" t="inlineStr">
        <is>
          <t>P1 — Critique</t>
        </is>
      </c>
      <c r="C3" s="41" t="inlineStr">
        <is>
          <t>Login super_admin valide</t>
        </is>
      </c>
      <c r="D3" s="41" t="inlineStr">
        <is>
          <t>Connexion avec superadmin@nexusrh-ci.com / SuperAdmin1234!</t>
        </is>
      </c>
      <c r="E3" s="41" t="inlineStr">
        <is>
          <t>API déployée, DB seedée</t>
        </is>
      </c>
      <c r="F3" s="41" t="inlineStr">
        <is>
          <t>1. Ouvrir nexusrh.openlabconsulting.com
2. Saisir email + mdp
3. Cliquer Connexion</t>
        </is>
      </c>
      <c r="G3" s="41" t="inlineStr">
        <is>
          <t>Token JWT reçu, redirection vers /platform/dashboard, sidebar plateforme affichée</t>
        </is>
      </c>
      <c r="H3" s="41" t="inlineStr"/>
      <c r="I3" s="42" t="inlineStr">
        <is>
          <t>⬜ Non exécuté</t>
        </is>
      </c>
      <c r="J3" s="41" t="inlineStr"/>
      <c r="K3" s="41" t="inlineStr"/>
      <c r="L3" s="41" t="inlineStr"/>
      <c r="M3" s="41" t="inlineStr"/>
      <c r="N3" s="41" t="inlineStr"/>
      <c r="O3" s="41" t="inlineStr">
        <is>
          <t>Sprint 1</t>
        </is>
      </c>
      <c r="P3" s="41" t="inlineStr">
        <is>
          <t>Production</t>
        </is>
      </c>
    </row>
    <row r="4" ht="58" customHeight="1">
      <c r="A4" s="4" t="inlineStr">
        <is>
          <t>AUTH-002</t>
        </is>
      </c>
      <c r="B4" s="40" t="inlineStr">
        <is>
          <t>P1 — Critique</t>
        </is>
      </c>
      <c r="C4" s="43" t="inlineStr">
        <is>
          <t>Login admin tenant valide</t>
        </is>
      </c>
      <c r="D4" s="43" t="inlineStr">
        <is>
          <t>Connexion admin@sotra.ci / Admin1234!</t>
        </is>
      </c>
      <c r="E4" s="43" t="inlineStr">
        <is>
          <t>Tenant SOTRA seedé</t>
        </is>
      </c>
      <c r="F4" s="43" t="inlineStr">
        <is>
          <t>1. Saisir admin@sotra.ci
2. Saisir Admin1234!
3. Cliquer Connexion</t>
        </is>
      </c>
      <c r="G4" s="43" t="inlineStr">
        <is>
          <t>Redirection /dashboard, thème orange SOTRA appliqué, sidebar RH complète</t>
        </is>
      </c>
      <c r="H4" s="43" t="inlineStr"/>
      <c r="I4" s="42" t="inlineStr">
        <is>
          <t>⬜ Non exécuté</t>
        </is>
      </c>
      <c r="J4" s="43" t="inlineStr"/>
      <c r="K4" s="43" t="inlineStr"/>
      <c r="L4" s="43" t="inlineStr"/>
      <c r="M4" s="43" t="inlineStr"/>
      <c r="N4" s="43" t="inlineStr"/>
      <c r="O4" s="43" t="inlineStr">
        <is>
          <t>Sprint 1</t>
        </is>
      </c>
      <c r="P4" s="43" t="inlineStr">
        <is>
          <t>Production</t>
        </is>
      </c>
    </row>
    <row r="5" ht="58" customHeight="1">
      <c r="A5" s="4" t="inlineStr">
        <is>
          <t>AUTH-003</t>
        </is>
      </c>
      <c r="B5" s="40" t="inlineStr">
        <is>
          <t>P1 — Critique</t>
        </is>
      </c>
      <c r="C5" s="41" t="inlineStr">
        <is>
          <t>Login mot de passe incorrect → message d'erreur visible</t>
        </is>
      </c>
      <c r="D5" s="41" t="inlineStr">
        <is>
          <t>Vérifier que le message 401 remonte au formulaire (plus de rechargement silencieux)</t>
        </is>
      </c>
      <c r="E5" s="41" t="inlineStr">
        <is>
          <t>Correctif intercepteur 401 déployé</t>
        </is>
      </c>
      <c r="F5" s="41" t="inlineStr">
        <is>
          <t>1. Saisir un email valide
2. Saisir un mauvais mot de passe
3. Soumettre</t>
        </is>
      </c>
      <c r="G5" s="41" t="inlineStr">
        <is>
          <t>Message 'Email ou mot de passe incorrect' affiché dans le formulaire, pas de rechargement de page</t>
        </is>
      </c>
      <c r="H5" s="41" t="inlineStr"/>
      <c r="I5" s="42" t="inlineStr">
        <is>
          <t>⬜ Non exécuté</t>
        </is>
      </c>
      <c r="J5" s="41" t="inlineStr"/>
      <c r="K5" s="41" t="inlineStr"/>
      <c r="L5" s="41" t="inlineStr"/>
      <c r="M5" s="41" t="inlineStr"/>
      <c r="N5" s="41" t="inlineStr"/>
      <c r="O5" s="41" t="inlineStr">
        <is>
          <t>Sprint 1</t>
        </is>
      </c>
      <c r="P5" s="41" t="inlineStr">
        <is>
          <t>Production</t>
        </is>
      </c>
    </row>
    <row r="6" ht="58" customHeight="1">
      <c r="A6" s="4" t="inlineStr">
        <is>
          <t>AUTH-004</t>
        </is>
      </c>
      <c r="B6" s="44" t="inlineStr">
        <is>
          <t>P2 — Haute</t>
        </is>
      </c>
      <c r="C6" s="43" t="inlineStr">
        <is>
          <t>Login email inexistant</t>
        </is>
      </c>
      <c r="D6" s="43" t="inlineStr">
        <is>
          <t>Email qui n'existe dans aucun tenant</t>
        </is>
      </c>
      <c r="E6" s="43" t="inlineStr"/>
      <c r="F6" s="43" t="inlineStr">
        <is>
          <t>1. Saisir email@inconnu.com
2. Mdp quelconque
3. Soumettre</t>
        </is>
      </c>
      <c r="G6" s="43" t="inlineStr">
        <is>
          <t>Message d'erreur 401 affiché sans plantage</t>
        </is>
      </c>
      <c r="H6" s="43" t="inlineStr"/>
      <c r="I6" s="42" t="inlineStr">
        <is>
          <t>⬜ Non exécuté</t>
        </is>
      </c>
      <c r="J6" s="43" t="inlineStr"/>
      <c r="K6" s="43" t="inlineStr"/>
      <c r="L6" s="43" t="inlineStr"/>
      <c r="M6" s="43" t="inlineStr"/>
      <c r="N6" s="43" t="inlineStr"/>
      <c r="O6" s="43" t="inlineStr">
        <is>
          <t>Sprint 1</t>
        </is>
      </c>
      <c r="P6" s="43" t="inlineStr">
        <is>
          <t>Production</t>
        </is>
      </c>
    </row>
    <row r="7" ht="58" customHeight="1">
      <c r="A7" s="4" t="inlineStr">
        <is>
          <t>AUTH-005</t>
        </is>
      </c>
      <c r="B7" s="40" t="inlineStr">
        <is>
          <t>P1 — Critique</t>
        </is>
      </c>
      <c r="C7" s="41" t="inlineStr">
        <is>
          <t>Redirection rôle employee → /mon-espace</t>
        </is>
      </c>
      <c r="D7" s="41" t="inlineStr">
        <is>
          <t>employe@sotra.ci doit atterrir sur son espace</t>
        </is>
      </c>
      <c r="E7" s="41" t="inlineStr">
        <is>
          <t>Seed SOTRA OK</t>
        </is>
      </c>
      <c r="F7" s="41" t="inlineStr">
        <is>
          <t>1. Connecter employe@sotra.ci
2. Observar la redirection</t>
        </is>
      </c>
      <c r="G7" s="41" t="inlineStr">
        <is>
          <t>Redirection automatique vers /mon-espace, sidebar réduite (5 items seulement)</t>
        </is>
      </c>
      <c r="H7" s="41" t="inlineStr"/>
      <c r="I7" s="42" t="inlineStr">
        <is>
          <t>⬜ Non exécuté</t>
        </is>
      </c>
      <c r="J7" s="41" t="inlineStr"/>
      <c r="K7" s="41" t="inlineStr"/>
      <c r="L7" s="41" t="inlineStr"/>
      <c r="M7" s="41" t="inlineStr"/>
      <c r="N7" s="41" t="inlineStr"/>
      <c r="O7" s="41" t="inlineStr">
        <is>
          <t>Sprint 1</t>
        </is>
      </c>
      <c r="P7" s="41" t="inlineStr">
        <is>
          <t>Production</t>
        </is>
      </c>
    </row>
    <row r="8" ht="58" customHeight="1">
      <c r="A8" s="4" t="inlineStr">
        <is>
          <t>AUTH-006</t>
        </is>
      </c>
      <c r="B8" s="40" t="inlineStr">
        <is>
          <t>P1 — Critique</t>
        </is>
      </c>
      <c r="C8" s="43" t="inlineStr">
        <is>
          <t>Redirection rôle manager → /dashboard</t>
        </is>
      </c>
      <c r="D8" s="43" t="inlineStr">
        <is>
          <t>manager@sotra.ci → /dashboard version manager</t>
        </is>
      </c>
      <c r="E8" s="43" t="inlineStr"/>
      <c r="F8" s="43" t="inlineStr">
        <is>
          <t>1. Connecter manager@sotra.ci
2. Observer dashboard</t>
        </is>
      </c>
      <c r="G8" s="43" t="inlineStr">
        <is>
          <t>Dashboard manager affiché (équipe, demandes à valider), pas les KPIs admin</t>
        </is>
      </c>
      <c r="H8" s="43" t="inlineStr"/>
      <c r="I8" s="42" t="inlineStr">
        <is>
          <t>⬜ Non exécuté</t>
        </is>
      </c>
      <c r="J8" s="43" t="inlineStr"/>
      <c r="K8" s="43" t="inlineStr"/>
      <c r="L8" s="43" t="inlineStr"/>
      <c r="M8" s="43" t="inlineStr"/>
      <c r="N8" s="43" t="inlineStr"/>
      <c r="O8" s="43" t="inlineStr">
        <is>
          <t>Sprint 1</t>
        </is>
      </c>
      <c r="P8" s="43" t="inlineStr">
        <is>
          <t>Production</t>
        </is>
      </c>
    </row>
    <row r="9" ht="58" customHeight="1">
      <c r="A9" s="4" t="inlineStr">
        <is>
          <t>AUTH-007</t>
        </is>
      </c>
      <c r="B9" s="40" t="inlineStr">
        <is>
          <t>P1 — Critique</t>
        </is>
      </c>
      <c r="C9" s="41" t="inlineStr">
        <is>
          <t>Redirection super_admin → /platform/dashboard</t>
        </is>
      </c>
      <c r="D9" s="41" t="inlineStr">
        <is>
          <t>Aucun accès aux données RH</t>
        </is>
      </c>
      <c r="E9" s="41" t="inlineStr"/>
      <c r="F9" s="41" t="inlineStr">
        <is>
          <t>1. Connecter superadmin@nexusrh-ci.com
2. Tenter /dashboard</t>
        </is>
      </c>
      <c r="G9" s="41" t="inlineStr">
        <is>
          <t>Redirigé vers /platform/dashboard, sidebar plateforme uniquement</t>
        </is>
      </c>
      <c r="H9" s="41" t="inlineStr"/>
      <c r="I9" s="42" t="inlineStr">
        <is>
          <t>⬜ Non exécuté</t>
        </is>
      </c>
      <c r="J9" s="41" t="inlineStr"/>
      <c r="K9" s="41" t="inlineStr"/>
      <c r="L9" s="41" t="inlineStr"/>
      <c r="M9" s="41" t="inlineStr"/>
      <c r="N9" s="41" t="inlineStr"/>
      <c r="O9" s="41" t="inlineStr">
        <is>
          <t>Sprint 1</t>
        </is>
      </c>
      <c r="P9" s="41" t="inlineStr">
        <is>
          <t>Production</t>
        </is>
      </c>
    </row>
    <row r="10" ht="58" customHeight="1">
      <c r="A10" s="4" t="inlineStr">
        <is>
          <t>AUTH-008</t>
        </is>
      </c>
      <c r="B10" s="44" t="inlineStr">
        <is>
          <t>P2 — Haute</t>
        </is>
      </c>
      <c r="C10" s="43" t="inlineStr">
        <is>
          <t>Refresh automatique token JWT expiré</t>
        </is>
      </c>
      <c r="D10" s="43" t="inlineStr">
        <is>
          <t>Le refresh token permet de renouveler le JWT sans déconnexion</t>
        </is>
      </c>
      <c r="E10" s="43" t="inlineStr">
        <is>
          <t>Token expiré simulé</t>
        </is>
      </c>
      <c r="F10" s="43" t="inlineStr">
        <is>
          <t>1. Connecter
2. Attendre expiration JWT ou modifier exp dans DevTools
3. Effectuer une requête API</t>
        </is>
      </c>
      <c r="G10" s="43" t="inlineStr">
        <is>
          <t>Token rafraîchi silencieusement, requête relancée, utilisateur non déconnecté</t>
        </is>
      </c>
      <c r="H10" s="43" t="inlineStr"/>
      <c r="I10" s="42" t="inlineStr">
        <is>
          <t>⬜ Non exécuté</t>
        </is>
      </c>
      <c r="J10" s="43" t="inlineStr"/>
      <c r="K10" s="43" t="inlineStr"/>
      <c r="L10" s="43" t="inlineStr"/>
      <c r="M10" s="43" t="inlineStr"/>
      <c r="N10" s="43" t="inlineStr"/>
      <c r="O10" s="43" t="inlineStr">
        <is>
          <t>Sprint 1</t>
        </is>
      </c>
      <c r="P10" s="43" t="inlineStr">
        <is>
          <t>Production</t>
        </is>
      </c>
    </row>
    <row r="11" ht="58" customHeight="1">
      <c r="A11" s="4" t="inlineStr">
        <is>
          <t>AUTH-009</t>
        </is>
      </c>
      <c r="B11" s="44" t="inlineStr">
        <is>
          <t>P2 — Haute</t>
        </is>
      </c>
      <c r="C11" s="41" t="inlineStr">
        <is>
          <t>Déconnexion propre</t>
        </is>
      </c>
      <c r="D11" s="41" t="inlineStr">
        <is>
          <t>Store Zustand vidé, redirection /login</t>
        </is>
      </c>
      <c r="E11" s="41" t="inlineStr">
        <is>
          <t>Session active</t>
        </is>
      </c>
      <c r="F11" s="41" t="inlineStr">
        <is>
          <t>1. Cliquer sur Déconnexion
2. Vérifier localStorage/sessionStorage</t>
        </is>
      </c>
      <c r="G11" s="41" t="inlineStr">
        <is>
          <t>Token supprimé, store authStore vidé, redirection /login, route protégée inaccessible</t>
        </is>
      </c>
      <c r="H11" s="41" t="inlineStr"/>
      <c r="I11" s="42" t="inlineStr">
        <is>
          <t>⬜ Non exécuté</t>
        </is>
      </c>
      <c r="J11" s="41" t="inlineStr"/>
      <c r="K11" s="41" t="inlineStr"/>
      <c r="L11" s="41" t="inlineStr"/>
      <c r="M11" s="41" t="inlineStr"/>
      <c r="N11" s="41" t="inlineStr"/>
      <c r="O11" s="41" t="inlineStr">
        <is>
          <t>Sprint 1</t>
        </is>
      </c>
      <c r="P11" s="41" t="inlineStr">
        <is>
          <t>Production</t>
        </is>
      </c>
    </row>
    <row r="12" ht="58" customHeight="1">
      <c r="A12" s="4" t="inlineStr">
        <is>
          <t>AUTH-010</t>
        </is>
      </c>
      <c r="B12" s="40" t="inlineStr">
        <is>
          <t>P1 — Critique</t>
        </is>
      </c>
      <c r="C12" s="43" t="inlineStr">
        <is>
          <t>Route protégée sans token → /login</t>
        </is>
      </c>
      <c r="D12" s="43" t="inlineStr">
        <is>
          <t>Un utilisateur non connecté tente d'accéder /dashboard</t>
        </is>
      </c>
      <c r="E12" s="43" t="inlineStr"/>
      <c r="F12" s="43" t="inlineStr">
        <is>
          <t>1. Sans session, accéder directement à /dashboard</t>
        </is>
      </c>
      <c r="G12" s="43" t="inlineStr">
        <is>
          <t>Redirection automatique vers /login</t>
        </is>
      </c>
      <c r="H12" s="43" t="inlineStr"/>
      <c r="I12" s="42" t="inlineStr">
        <is>
          <t>⬜ Non exécuté</t>
        </is>
      </c>
      <c r="J12" s="43" t="inlineStr"/>
      <c r="K12" s="43" t="inlineStr"/>
      <c r="L12" s="43" t="inlineStr"/>
      <c r="M12" s="43" t="inlineStr"/>
      <c r="N12" s="43" t="inlineStr"/>
      <c r="O12" s="43" t="inlineStr">
        <is>
          <t>Sprint 1</t>
        </is>
      </c>
      <c r="P12" s="43" t="inlineStr">
        <is>
          <t>Production</t>
        </is>
      </c>
    </row>
    <row r="13" ht="58" customHeight="1">
      <c r="A13" s="4" t="inlineStr">
        <is>
          <t>AUTH-011</t>
        </is>
      </c>
      <c r="B13" s="44" t="inlineStr">
        <is>
          <t>P2 — Haute</t>
        </is>
      </c>
      <c r="C13" s="41" t="inlineStr">
        <is>
          <t>must_change_password = false après seed</t>
        </is>
      </c>
      <c r="D13" s="41" t="inlineStr">
        <is>
          <t>Les comptes seedés n'exigent pas de changement de mdp</t>
        </is>
      </c>
      <c r="E13" s="41" t="inlineStr">
        <is>
          <t>Seed v2 avec last_login_at déployé</t>
        </is>
      </c>
      <c r="F13" s="41" t="inlineStr">
        <is>
          <t>1. Connecter n'importe quel compte seedé</t>
        </is>
      </c>
      <c r="G13" s="41" t="inlineStr">
        <is>
          <t>Connexion directe au dashboard, pas de popup changement de mot de passe</t>
        </is>
      </c>
      <c r="H13" s="41" t="inlineStr"/>
      <c r="I13" s="42" t="inlineStr">
        <is>
          <t>⬜ Non exécuté</t>
        </is>
      </c>
      <c r="J13" s="41" t="inlineStr"/>
      <c r="K13" s="41" t="inlineStr"/>
      <c r="L13" s="41" t="inlineStr"/>
      <c r="M13" s="41" t="inlineStr"/>
      <c r="N13" s="41" t="inlineStr"/>
      <c r="O13" s="41" t="inlineStr">
        <is>
          <t>Sprint 1</t>
        </is>
      </c>
      <c r="P13" s="41" t="inlineStr">
        <is>
          <t>Production</t>
        </is>
      </c>
    </row>
    <row r="14" ht="58" customHeight="1">
      <c r="A14" s="4" t="inlineStr">
        <is>
          <t>AUTH-012</t>
        </is>
      </c>
      <c r="B14" s="45" t="inlineStr">
        <is>
          <t>P3 — Moyenne</t>
        </is>
      </c>
      <c r="C14" s="43" t="inlineStr">
        <is>
          <t>Activation MFA (QR code TOTP)</t>
        </is>
      </c>
      <c r="D14" s="43" t="inlineStr">
        <is>
          <t>L'utilisateur active la double authentification</t>
        </is>
      </c>
      <c r="E14" s="43" t="inlineStr"/>
      <c r="F14" s="43" t="inlineStr">
        <is>
          <t>1. Mon profil → Sécurité → Activer MFA
2. Scanner QR code avec app TOTP
3. Valider avec code</t>
        </is>
      </c>
      <c r="G14" s="43" t="inlineStr">
        <is>
          <t>MFA activé, codes de secours affichés, connexion suivante demande OTP</t>
        </is>
      </c>
      <c r="H14" s="43" t="inlineStr"/>
      <c r="I14" s="42" t="inlineStr">
        <is>
          <t>⬜ Non exécuté</t>
        </is>
      </c>
      <c r="J14" s="43" t="inlineStr"/>
      <c r="K14" s="43" t="inlineStr"/>
      <c r="L14" s="43" t="inlineStr"/>
      <c r="M14" s="43" t="inlineStr"/>
      <c r="N14" s="43" t="inlineStr"/>
      <c r="O14" s="43" t="inlineStr">
        <is>
          <t>Sprint 1</t>
        </is>
      </c>
      <c r="P14" s="43" t="inlineStr">
        <is>
          <t>Production</t>
        </is>
      </c>
    </row>
    <row r="15" ht="58" customHeight="1">
      <c r="A15" s="4" t="inlineStr">
        <is>
          <t>AUTH-013</t>
        </is>
      </c>
      <c r="B15" s="44" t="inlineStr">
        <is>
          <t>P2 — Haute</t>
        </is>
      </c>
      <c r="C15" s="41" t="inlineStr">
        <is>
          <t>MFA code OTP valide</t>
        </is>
      </c>
      <c r="D15" s="41" t="inlineStr">
        <is>
          <t>Connexion avec MFA activé</t>
        </is>
      </c>
      <c r="E15" s="41" t="inlineStr">
        <is>
          <t>MFA activé sur le compte</t>
        </is>
      </c>
      <c r="F15" s="41" t="inlineStr">
        <is>
          <t>1. Connecter
2. Saisir code TOTP valide</t>
        </is>
      </c>
      <c r="G15" s="41" t="inlineStr">
        <is>
          <t>Accès accordé, token JWT émis</t>
        </is>
      </c>
      <c r="H15" s="41" t="inlineStr"/>
      <c r="I15" s="42" t="inlineStr">
        <is>
          <t>⬜ Non exécuté</t>
        </is>
      </c>
      <c r="J15" s="41" t="inlineStr"/>
      <c r="K15" s="41" t="inlineStr"/>
      <c r="L15" s="41" t="inlineStr"/>
      <c r="M15" s="41" t="inlineStr"/>
      <c r="N15" s="41" t="inlineStr"/>
      <c r="O15" s="41" t="inlineStr">
        <is>
          <t>Sprint 1</t>
        </is>
      </c>
      <c r="P15" s="41" t="inlineStr">
        <is>
          <t>Production</t>
        </is>
      </c>
    </row>
    <row r="16" ht="58" customHeight="1">
      <c r="A16" s="4" t="inlineStr">
        <is>
          <t>AUTH-014</t>
        </is>
      </c>
      <c r="B16" s="44" t="inlineStr">
        <is>
          <t>P2 — Haute</t>
        </is>
      </c>
      <c r="C16" s="43" t="inlineStr">
        <is>
          <t>MFA code OTP invalide → rejet</t>
        </is>
      </c>
      <c r="D16" s="43" t="inlineStr"/>
      <c r="E16" s="43" t="inlineStr">
        <is>
          <t>MFA activé</t>
        </is>
      </c>
      <c r="F16" s="43" t="inlineStr">
        <is>
          <t>1. Connecter
2. Saisir code TOTP périmé ou incorrect</t>
        </is>
      </c>
      <c r="G16" s="43" t="inlineStr">
        <is>
          <t>Erreur 401, message explicite, pas de token émis</t>
        </is>
      </c>
      <c r="H16" s="43" t="inlineStr"/>
      <c r="I16" s="42" t="inlineStr">
        <is>
          <t>⬜ Non exécuté</t>
        </is>
      </c>
      <c r="J16" s="43" t="inlineStr"/>
      <c r="K16" s="43" t="inlineStr"/>
      <c r="L16" s="43" t="inlineStr"/>
      <c r="M16" s="43" t="inlineStr"/>
      <c r="N16" s="43" t="inlineStr"/>
      <c r="O16" s="43" t="inlineStr">
        <is>
          <t>Sprint 1</t>
        </is>
      </c>
      <c r="P16" s="43" t="inlineStr">
        <is>
          <t>Production</t>
        </is>
      </c>
    </row>
    <row r="17" ht="58" customHeight="1">
      <c r="A17" s="4" t="inlineStr">
        <is>
          <t>AUTH-015</t>
        </is>
      </c>
      <c r="B17" s="40" t="inlineStr">
        <is>
          <t>P1 — Critique</t>
        </is>
      </c>
      <c r="C17" s="41" t="inlineStr">
        <is>
          <t>Isolation multi-tenant</t>
        </is>
      </c>
      <c r="D17" s="41" t="inlineStr">
        <is>
          <t>Token SOTRA ne donne pas accès aux données Cabinet Expertise CI</t>
        </is>
      </c>
      <c r="E17" s="41" t="inlineStr">
        <is>
          <t>2 tenants seedés</t>
        </is>
      </c>
      <c r="F17" s="41" t="inlineStr">
        <is>
          <t>1. Connecter admin@sotra.ci
2. Inspecter les requêtes API
3. Tenter d'appeler /api/employees avec schéma cabinet</t>
        </is>
      </c>
      <c r="G17" s="41" t="inlineStr">
        <is>
          <t>403 Forbidden ou données vides, jamais de fuite cross-tenant</t>
        </is>
      </c>
      <c r="H17" s="41" t="inlineStr"/>
      <c r="I17" s="42" t="inlineStr">
        <is>
          <t>⬜ Non exécuté</t>
        </is>
      </c>
      <c r="J17" s="41" t="inlineStr"/>
      <c r="K17" s="41" t="inlineStr"/>
      <c r="L17" s="41" t="inlineStr"/>
      <c r="M17" s="41" t="inlineStr"/>
      <c r="N17" s="41" t="inlineStr"/>
      <c r="O17" s="41" t="inlineStr">
        <is>
          <t>Sprint 1</t>
        </is>
      </c>
      <c r="P17" s="41" t="inlineStr">
        <is>
          <t>Production</t>
        </is>
      </c>
    </row>
    <row r="18" ht="58" customHeight="1">
      <c r="A18" s="4" t="inlineStr">
        <is>
          <t>AUTH-016</t>
        </is>
      </c>
      <c r="B18" s="40" t="inlineStr">
        <is>
          <t>P1 — Critique</t>
        </is>
      </c>
      <c r="C18" s="43" t="inlineStr">
        <is>
          <t>[NON-REGRESSION] Seed DO UPDATE password_hash</t>
        </is>
      </c>
      <c r="D18" s="43" t="inlineStr">
        <is>
          <t>Régression résolue 2026-05-15 : seed ON CONFLICT DO NOTHING ne rafraîchissait pas les hashes SOTRA/Cabinet (login 401 sur tous les comptes)</t>
        </is>
      </c>
      <c r="E18" s="43" t="inlineStr">
        <is>
          <t>Re-seed exécuté en prod</t>
        </is>
      </c>
      <c r="F18" s="43" t="inlineStr">
        <is>
          <t>1. kubectl apply seed-job-prod.yaml ou pnpm run db:seed
2. Tenter login admin@sotra.ci / Admin1234!</t>
        </is>
      </c>
      <c r="G18" s="43" t="inlineStr">
        <is>
          <t>Login OK 200 — le seed met à jour password_hash si l'utilisateur existe déjà</t>
        </is>
      </c>
      <c r="H18" s="43" t="inlineStr"/>
      <c r="I18" s="42" t="inlineStr">
        <is>
          <t>⬜ Non exécuté</t>
        </is>
      </c>
      <c r="J18" s="43" t="inlineStr"/>
      <c r="K18" s="43" t="inlineStr"/>
      <c r="L18" s="43" t="inlineStr"/>
      <c r="M18" s="43" t="inlineStr"/>
      <c r="N18" s="43" t="inlineStr"/>
      <c r="O18" s="43" t="inlineStr">
        <is>
          <t>Sprint 1</t>
        </is>
      </c>
      <c r="P18" s="43" t="inlineStr">
        <is>
          <t>Production</t>
        </is>
      </c>
    </row>
    <row r="19" ht="58" customHeight="1">
      <c r="A19" s="4" t="inlineStr">
        <is>
          <t>AUTH-017</t>
        </is>
      </c>
      <c r="B19" s="40" t="inlineStr">
        <is>
          <t>P1 — Critique</t>
        </is>
      </c>
      <c r="C19" s="41" t="inlineStr">
        <is>
          <t>[NON-REGRESSION] Script reset-admin-passwords.sql</t>
        </is>
      </c>
      <c r="D19" s="41" t="inlineStr">
        <is>
          <t>Récupération prod sans rebuild — applique 8 UPDATE bcrypt 12 rounds</t>
        </is>
      </c>
      <c r="E19" s="41" t="inlineStr">
        <is>
          <t>Accès kubectl prod</t>
        </is>
      </c>
      <c r="F19" s="41" t="inlineStr">
        <is>
          <t>1. kubectl exec -i postgres-0 -- psql -U nexusrh -d nexusrh &lt; scripts/reset-admin-passwords.sql
2. Vérifier les is_active=true
3. Login admin@sotra.ci</t>
        </is>
      </c>
      <c r="G19" s="41" t="inlineStr">
        <is>
          <t>8 lignes UPDATE OK, login fonctionnel sur les 8 comptes documentés</t>
        </is>
      </c>
      <c r="H19" s="41" t="inlineStr"/>
      <c r="I19" s="42" t="inlineStr">
        <is>
          <t>⬜ Non exécuté</t>
        </is>
      </c>
      <c r="J19" s="41" t="inlineStr"/>
      <c r="K19" s="41" t="inlineStr"/>
      <c r="L19" s="41" t="inlineStr"/>
      <c r="M19" s="41" t="inlineStr"/>
      <c r="N19" s="41" t="inlineStr"/>
      <c r="O19" s="41" t="inlineStr">
        <is>
          <t>Sprint 1</t>
        </is>
      </c>
      <c r="P19" s="41" t="inlineStr">
        <is>
          <t>Production</t>
        </is>
      </c>
    </row>
    <row r="20" ht="58" customHeight="1">
      <c r="A20" s="4" t="inlineStr">
        <is>
          <t>AUTH-018</t>
        </is>
      </c>
      <c r="B20" s="44" t="inlineStr">
        <is>
          <t>P2 — Haute</t>
        </is>
      </c>
      <c r="C20" s="43" t="inlineStr">
        <is>
          <t>[NON-REGRESSION] Script reset-admin-passwords.ts standalone</t>
        </is>
      </c>
      <c r="D20" s="43" t="inlineStr">
        <is>
          <t>pnpm run admin:reset-passwords:dry-run puis admin:reset-passwords</t>
        </is>
      </c>
      <c r="E20" s="43" t="inlineStr">
        <is>
          <t>DB locale ou prod accessible</t>
        </is>
      </c>
      <c r="F20" s="43" t="inlineStr">
        <is>
          <t>1. pnpm --filter @nexusrhci/api run admin:reset-passwords:dry-run
2. Vérifier la liste des comptes ciblés
3. Lancer admin:reset-passwords</t>
        </is>
      </c>
      <c r="G20" s="43" t="inlineStr">
        <is>
          <t>Mode dry-run liste les 8 cibles. Lancement réel : ✓ pour chaque compte. Bcrypt 12 rounds, OWASP A02 respecté</t>
        </is>
      </c>
      <c r="H20" s="43" t="inlineStr"/>
      <c r="I20" s="42" t="inlineStr">
        <is>
          <t>⬜ Non exécuté</t>
        </is>
      </c>
      <c r="J20" s="43" t="inlineStr"/>
      <c r="K20" s="43" t="inlineStr"/>
      <c r="L20" s="43" t="inlineStr"/>
      <c r="M20" s="43" t="inlineStr"/>
      <c r="N20" s="43" t="inlineStr"/>
      <c r="O20" s="43" t="inlineStr">
        <is>
          <t>Sprint 1</t>
        </is>
      </c>
      <c r="P20" s="43" t="inlineStr">
        <is>
          <t>Production</t>
        </is>
      </c>
    </row>
  </sheetData>
  <mergeCells count="1">
    <mergeCell ref="A1:P1"/>
  </mergeCells>
  <conditionalFormatting sqref="A3:P20">
    <cfRule type="expression" priority="1" dxfId="0">
      <formula>$I3="✅ Passé"</formula>
    </cfRule>
    <cfRule type="expression" priority="2" dxfId="1">
      <formula>$I3="❌ Échoué"</formula>
    </cfRule>
    <cfRule type="expression" priority="3" dxfId="2">
      <formula>$I3="⚠️ Bloqué"</formula>
    </cfRule>
    <cfRule type="expression" priority="4" dxfId="3">
      <formula>$I3="▶️ En cours"</formula>
    </cfRule>
    <cfRule type="expression" priority="5" dxfId="4">
      <formula>$I3="⬜ Non exécuté"</formula>
    </cfRule>
  </conditionalFormatting>
  <dataValidations count="54">
    <dataValidation sqref="I3" showDropDown="0" showInputMessage="0" showErrorMessage="0" allowBlank="1" type="list">
      <formula1>"✅ Passé,❌ Échoué,⚠️ Bloqué,▶️ En cours,⬜ Non exécuté"</formula1>
    </dataValidation>
    <dataValidation sqref="B3" showDropDown="0" showInputMessage="0" showErrorMessage="0" allowBlank="1" type="list">
      <formula1>"P1 — Critique,P2 — Haute,P3 — Moyenne,P4 — Basse"</formula1>
    </dataValidation>
    <dataValidation sqref="P3" showDropDown="0" showInputMessage="0" showErrorMessage="0" allowBlank="1" type="list">
      <formula1>"Production,Preprod,Local"</formula1>
    </dataValidation>
    <dataValidation sqref="I4" showDropDown="0" showInputMessage="0" showErrorMessage="0" allowBlank="1" type="list">
      <formula1>"✅ Passé,❌ Échoué,⚠️ Bloqué,▶️ En cours,⬜ Non exécuté"</formula1>
    </dataValidation>
    <dataValidation sqref="B4" showDropDown="0" showInputMessage="0" showErrorMessage="0" allowBlank="1" type="list">
      <formula1>"P1 — Critique,P2 — Haute,P3 — Moyenne,P4 — Basse"</formula1>
    </dataValidation>
    <dataValidation sqref="P4" showDropDown="0" showInputMessage="0" showErrorMessage="0" allowBlank="1" type="list">
      <formula1>"Production,Preprod,Local"</formula1>
    </dataValidation>
    <dataValidation sqref="I5" showDropDown="0" showInputMessage="0" showErrorMessage="0" allowBlank="1" type="list">
      <formula1>"✅ Passé,❌ Échoué,⚠️ Bloqué,▶️ En cours,⬜ Non exécuté"</formula1>
    </dataValidation>
    <dataValidation sqref="B5" showDropDown="0" showInputMessage="0" showErrorMessage="0" allowBlank="1" type="list">
      <formula1>"P1 — Critique,P2 — Haute,P3 — Moyenne,P4 — Basse"</formula1>
    </dataValidation>
    <dataValidation sqref="P5" showDropDown="0" showInputMessage="0" showErrorMessage="0" allowBlank="1" type="list">
      <formula1>"Production,Preprod,Local"</formula1>
    </dataValidation>
    <dataValidation sqref="I6" showDropDown="0" showInputMessage="0" showErrorMessage="0" allowBlank="1" type="list">
      <formula1>"✅ Passé,❌ Échoué,⚠️ Bloqué,▶️ En cours,⬜ Non exécuté"</formula1>
    </dataValidation>
    <dataValidation sqref="B6" showDropDown="0" showInputMessage="0" showErrorMessage="0" allowBlank="1" type="list">
      <formula1>"P1 — Critique,P2 — Haute,P3 — Moyenne,P4 — Basse"</formula1>
    </dataValidation>
    <dataValidation sqref="P6" showDropDown="0" showInputMessage="0" showErrorMessage="0" allowBlank="1" type="list">
      <formula1>"Production,Preprod,Local"</formula1>
    </dataValidation>
    <dataValidation sqref="I7" showDropDown="0" showInputMessage="0" showErrorMessage="0" allowBlank="1" type="list">
      <formula1>"✅ Passé,❌ Échoué,⚠️ Bloqué,▶️ En cours,⬜ Non exécuté"</formula1>
    </dataValidation>
    <dataValidation sqref="B7" showDropDown="0" showInputMessage="0" showErrorMessage="0" allowBlank="1" type="list">
      <formula1>"P1 — Critique,P2 — Haute,P3 — Moyenne,P4 — Basse"</formula1>
    </dataValidation>
    <dataValidation sqref="P7" showDropDown="0" showInputMessage="0" showErrorMessage="0" allowBlank="1" type="list">
      <formula1>"Production,Preprod,Local"</formula1>
    </dataValidation>
    <dataValidation sqref="I8" showDropDown="0" showInputMessage="0" showErrorMessage="0" allowBlank="1" type="list">
      <formula1>"✅ Passé,❌ Échoué,⚠️ Bloqué,▶️ En cours,⬜ Non exécuté"</formula1>
    </dataValidation>
    <dataValidation sqref="B8" showDropDown="0" showInputMessage="0" showErrorMessage="0" allowBlank="1" type="list">
      <formula1>"P1 — Critique,P2 — Haute,P3 — Moyenne,P4 — Basse"</formula1>
    </dataValidation>
    <dataValidation sqref="P8" showDropDown="0" showInputMessage="0" showErrorMessage="0" allowBlank="1" type="list">
      <formula1>"Production,Preprod,Local"</formula1>
    </dataValidation>
    <dataValidation sqref="I9" showDropDown="0" showInputMessage="0" showErrorMessage="0" allowBlank="1" type="list">
      <formula1>"✅ Passé,❌ Échoué,⚠️ Bloqué,▶️ En cours,⬜ Non exécuté"</formula1>
    </dataValidation>
    <dataValidation sqref="B9" showDropDown="0" showInputMessage="0" showErrorMessage="0" allowBlank="1" type="list">
      <formula1>"P1 — Critique,P2 — Haute,P3 — Moyenne,P4 — Basse"</formula1>
    </dataValidation>
    <dataValidation sqref="P9" showDropDown="0" showInputMessage="0" showErrorMessage="0" allowBlank="1" type="list">
      <formula1>"Production,Preprod,Local"</formula1>
    </dataValidation>
    <dataValidation sqref="I10" showDropDown="0" showInputMessage="0" showErrorMessage="0" allowBlank="1" type="list">
      <formula1>"✅ Passé,❌ Échoué,⚠️ Bloqué,▶️ En cours,⬜ Non exécuté"</formula1>
    </dataValidation>
    <dataValidation sqref="B10" showDropDown="0" showInputMessage="0" showErrorMessage="0" allowBlank="1" type="list">
      <formula1>"P1 — Critique,P2 — Haute,P3 — Moyenne,P4 — Basse"</formula1>
    </dataValidation>
    <dataValidation sqref="P10" showDropDown="0" showInputMessage="0" showErrorMessage="0" allowBlank="1" type="list">
      <formula1>"Production,Preprod,Local"</formula1>
    </dataValidation>
    <dataValidation sqref="I11" showDropDown="0" showInputMessage="0" showErrorMessage="0" allowBlank="1" type="list">
      <formula1>"✅ Passé,❌ Échoué,⚠️ Bloqué,▶️ En cours,⬜ Non exécuté"</formula1>
    </dataValidation>
    <dataValidation sqref="B11" showDropDown="0" showInputMessage="0" showErrorMessage="0" allowBlank="1" type="list">
      <formula1>"P1 — Critique,P2 — Haute,P3 — Moyenne,P4 — Basse"</formula1>
    </dataValidation>
    <dataValidation sqref="P11" showDropDown="0" showInputMessage="0" showErrorMessage="0" allowBlank="1" type="list">
      <formula1>"Production,Preprod,Local"</formula1>
    </dataValidation>
    <dataValidation sqref="I12" showDropDown="0" showInputMessage="0" showErrorMessage="0" allowBlank="1" type="list">
      <formula1>"✅ Passé,❌ Échoué,⚠️ Bloqué,▶️ En cours,⬜ Non exécuté"</formula1>
    </dataValidation>
    <dataValidation sqref="B12" showDropDown="0" showInputMessage="0" showErrorMessage="0" allowBlank="1" type="list">
      <formula1>"P1 — Critique,P2 — Haute,P3 — Moyenne,P4 — Basse"</formula1>
    </dataValidation>
    <dataValidation sqref="P12" showDropDown="0" showInputMessage="0" showErrorMessage="0" allowBlank="1" type="list">
      <formula1>"Production,Preprod,Local"</formula1>
    </dataValidation>
    <dataValidation sqref="I13" showDropDown="0" showInputMessage="0" showErrorMessage="0" allowBlank="1" type="list">
      <formula1>"✅ Passé,❌ Échoué,⚠️ Bloqué,▶️ En cours,⬜ Non exécuté"</formula1>
    </dataValidation>
    <dataValidation sqref="B13" showDropDown="0" showInputMessage="0" showErrorMessage="0" allowBlank="1" type="list">
      <formula1>"P1 — Critique,P2 — Haute,P3 — Moyenne,P4 — Basse"</formula1>
    </dataValidation>
    <dataValidation sqref="P13" showDropDown="0" showInputMessage="0" showErrorMessage="0" allowBlank="1" type="list">
      <formula1>"Production,Preprod,Local"</formula1>
    </dataValidation>
    <dataValidation sqref="I14" showDropDown="0" showInputMessage="0" showErrorMessage="0" allowBlank="1" type="list">
      <formula1>"✅ Passé,❌ Échoué,⚠️ Bloqué,▶️ En cours,⬜ Non exécuté"</formula1>
    </dataValidation>
    <dataValidation sqref="B14" showDropDown="0" showInputMessage="0" showErrorMessage="0" allowBlank="1" type="list">
      <formula1>"P1 — Critique,P2 — Haute,P3 — Moyenne,P4 — Basse"</formula1>
    </dataValidation>
    <dataValidation sqref="P14" showDropDown="0" showInputMessage="0" showErrorMessage="0" allowBlank="1" type="list">
      <formula1>"Production,Preprod,Local"</formula1>
    </dataValidation>
    <dataValidation sqref="I15" showDropDown="0" showInputMessage="0" showErrorMessage="0" allowBlank="1" type="list">
      <formula1>"✅ Passé,❌ Échoué,⚠️ Bloqué,▶️ En cours,⬜ Non exécuté"</formula1>
    </dataValidation>
    <dataValidation sqref="B15" showDropDown="0" showInputMessage="0" showErrorMessage="0" allowBlank="1" type="list">
      <formula1>"P1 — Critique,P2 — Haute,P3 — Moyenne,P4 — Basse"</formula1>
    </dataValidation>
    <dataValidation sqref="P15" showDropDown="0" showInputMessage="0" showErrorMessage="0" allowBlank="1" type="list">
      <formula1>"Production,Preprod,Local"</formula1>
    </dataValidation>
    <dataValidation sqref="I16" showDropDown="0" showInputMessage="0" showErrorMessage="0" allowBlank="1" type="list">
      <formula1>"✅ Passé,❌ Échoué,⚠️ Bloqué,▶️ En cours,⬜ Non exécuté"</formula1>
    </dataValidation>
    <dataValidation sqref="B16" showDropDown="0" showInputMessage="0" showErrorMessage="0" allowBlank="1" type="list">
      <formula1>"P1 — Critique,P2 — Haute,P3 — Moyenne,P4 — Basse"</formula1>
    </dataValidation>
    <dataValidation sqref="P16" showDropDown="0" showInputMessage="0" showErrorMessage="0" allowBlank="1" type="list">
      <formula1>"Production,Preprod,Local"</formula1>
    </dataValidation>
    <dataValidation sqref="I17" showDropDown="0" showInputMessage="0" showErrorMessage="0" allowBlank="1" type="list">
      <formula1>"✅ Passé,❌ Échoué,⚠️ Bloqué,▶️ En cours,⬜ Non exécuté"</formula1>
    </dataValidation>
    <dataValidation sqref="B17" showDropDown="0" showInputMessage="0" showErrorMessage="0" allowBlank="1" type="list">
      <formula1>"P1 — Critique,P2 — Haute,P3 — Moyenne,P4 — Basse"</formula1>
    </dataValidation>
    <dataValidation sqref="P17" showDropDown="0" showInputMessage="0" showErrorMessage="0" allowBlank="1" type="list">
      <formula1>"Production,Preprod,Local"</formula1>
    </dataValidation>
    <dataValidation sqref="I18" showDropDown="0" showInputMessage="0" showErrorMessage="0" allowBlank="1" type="list">
      <formula1>"✅ Passé,❌ Échoué,⚠️ Bloqué,▶️ En cours,⬜ Non exécuté"</formula1>
    </dataValidation>
    <dataValidation sqref="B18" showDropDown="0" showInputMessage="0" showErrorMessage="0" allowBlank="1" type="list">
      <formula1>"P1 — Critique,P2 — Haute,P3 — Moyenne,P4 — Basse"</formula1>
    </dataValidation>
    <dataValidation sqref="P18" showDropDown="0" showInputMessage="0" showErrorMessage="0" allowBlank="1" type="list">
      <formula1>"Production,Preprod,Local"</formula1>
    </dataValidation>
    <dataValidation sqref="I19" showDropDown="0" showInputMessage="0" showErrorMessage="0" allowBlank="1" type="list">
      <formula1>"✅ Passé,❌ Échoué,⚠️ Bloqué,▶️ En cours,⬜ Non exécuté"</formula1>
    </dataValidation>
    <dataValidation sqref="B19" showDropDown="0" showInputMessage="0" showErrorMessage="0" allowBlank="1" type="list">
      <formula1>"P1 — Critique,P2 — Haute,P3 — Moyenne,P4 — Basse"</formula1>
    </dataValidation>
    <dataValidation sqref="P19" showDropDown="0" showInputMessage="0" showErrorMessage="0" allowBlank="1" type="list">
      <formula1>"Production,Preprod,Local"</formula1>
    </dataValidation>
    <dataValidation sqref="I20" showDropDown="0" showInputMessage="0" showErrorMessage="0" allowBlank="1" type="list">
      <formula1>"✅ Passé,❌ Échoué,⚠️ Bloqué,▶️ En cours,⬜ Non exécuté"</formula1>
    </dataValidation>
    <dataValidation sqref="B20" showDropDown="0" showInputMessage="0" showErrorMessage="0" allowBlank="1" type="list">
      <formula1>"P1 — Critique,P2 — Haute,P3 — Moyenne,P4 — Basse"</formula1>
    </dataValidation>
    <dataValidation sqref="P20" showDropDown="0" showInputMessage="0" showErrorMessage="0" allowBlank="1" type="list">
      <formula1>"Production,Preprod,Local"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25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38" customWidth="1" min="3" max="3"/>
    <col width="32" customWidth="1" min="4" max="4"/>
    <col width="30" customWidth="1" min="5" max="5"/>
    <col width="40" customWidth="1" min="6" max="6"/>
    <col width="38" customWidth="1" min="7" max="7"/>
    <col width="38" customWidth="1" min="8" max="8"/>
    <col width="18" customWidth="1" min="9" max="9"/>
    <col width="16" customWidth="1" min="10" max="10"/>
    <col width="13" customWidth="1" min="11" max="11"/>
    <col width="12" customWidth="1" min="12" max="12"/>
    <col width="24" customWidth="1" min="13" max="13"/>
    <col width="36" customWidth="1" min="14" max="14"/>
    <col width="10" customWidth="1" min="15" max="15"/>
    <col width="12" customWidth="1" min="16" max="16"/>
  </cols>
  <sheetData>
    <row r="1" ht="26" customHeight="1">
      <c r="A1" s="46" t="inlineStr">
        <is>
          <t xml:space="preserve">  PORTAIL SUPER ADMIN  ·  23 scénarios</t>
        </is>
      </c>
    </row>
    <row r="2" ht="22" customHeight="1">
      <c r="A2" s="39" t="inlineStr">
        <is>
          <t>ID Test</t>
        </is>
      </c>
      <c r="B2" s="39" t="inlineStr">
        <is>
          <t>Priorité</t>
        </is>
      </c>
      <c r="C2" s="39" t="inlineStr">
        <is>
          <t>Titre du scénario</t>
        </is>
      </c>
      <c r="D2" s="39" t="inlineStr">
        <is>
          <t>Description / Contexte</t>
        </is>
      </c>
      <c r="E2" s="39" t="inlineStr">
        <is>
          <t>Prérequis / Données</t>
        </is>
      </c>
      <c r="F2" s="39" t="inlineStr">
        <is>
          <t>Étapes détaillées</t>
        </is>
      </c>
      <c r="G2" s="39" t="inlineStr">
        <is>
          <t>Résultat attendu</t>
        </is>
      </c>
      <c r="H2" s="39" t="inlineStr">
        <is>
          <t>Résultat obtenu</t>
        </is>
      </c>
      <c r="I2" s="39" t="inlineStr">
        <is>
          <t>Statut</t>
        </is>
      </c>
      <c r="J2" s="39" t="inlineStr">
        <is>
          <t>Testeur</t>
        </is>
      </c>
      <c r="K2" s="39" t="inlineStr">
        <is>
          <t>Date test</t>
        </is>
      </c>
      <c r="L2" s="39" t="inlineStr">
        <is>
          <t>Durée (min)</t>
        </is>
      </c>
      <c r="M2" s="39" t="inlineStr">
        <is>
          <t>Ticket / Requalification</t>
        </is>
      </c>
      <c r="N2" s="39" t="inlineStr">
        <is>
          <t>Commentaire / Amélioration</t>
        </is>
      </c>
      <c r="O2" s="39" t="inlineStr">
        <is>
          <t>Sprint</t>
        </is>
      </c>
      <c r="P2" s="39" t="inlineStr">
        <is>
          <t>Env.</t>
        </is>
      </c>
    </row>
    <row r="3" ht="58" customHeight="1">
      <c r="A3" s="47" t="inlineStr">
        <is>
          <t>PLT-001</t>
        </is>
      </c>
      <c r="B3" s="40" t="inlineStr">
        <is>
          <t>P1 — Critique</t>
        </is>
      </c>
      <c r="C3" s="41" t="inlineStr">
        <is>
          <t>KPIs plateforme corrects</t>
        </is>
      </c>
      <c r="D3" s="41" t="inlineStr">
        <is>
          <t>Dashboard /platform/dashboard affiche tenants actifs, trials, MRR</t>
        </is>
      </c>
      <c r="E3" s="41" t="inlineStr">
        <is>
          <t>2+ tenants seedés</t>
        </is>
      </c>
      <c r="F3" s="41" t="inlineStr">
        <is>
          <t>1. Connecter superadmin
2. Observer KPI cards</t>
        </is>
      </c>
      <c r="G3" s="41" t="inlineStr">
        <is>
          <t>Valeurs cohérentes avec la base (ex: 3 tenants actifs = 3 affiché)</t>
        </is>
      </c>
      <c r="H3" s="41" t="inlineStr"/>
      <c r="I3" s="42" t="inlineStr">
        <is>
          <t>⬜ Non exécuté</t>
        </is>
      </c>
      <c r="J3" s="41" t="inlineStr"/>
      <c r="K3" s="41" t="inlineStr"/>
      <c r="L3" s="41" t="inlineStr"/>
      <c r="M3" s="41" t="inlineStr"/>
      <c r="N3" s="41" t="inlineStr"/>
      <c r="O3" s="41" t="inlineStr">
        <is>
          <t>Sprint 1</t>
        </is>
      </c>
      <c r="P3" s="41" t="inlineStr">
        <is>
          <t>Production</t>
        </is>
      </c>
    </row>
    <row r="4" ht="58" customHeight="1">
      <c r="A4" s="47" t="inlineStr">
        <is>
          <t>PLT-002</t>
        </is>
      </c>
      <c r="B4" s="40" t="inlineStr">
        <is>
          <t>P1 — Critique</t>
        </is>
      </c>
      <c r="C4" s="43" t="inlineStr">
        <is>
          <t>Création tenant — wizard 3 étapes</t>
        </is>
      </c>
      <c r="D4" s="43" t="inlineStr">
        <is>
          <t>Créer un nouveau tenant via le formulaire</t>
        </is>
      </c>
      <c r="E4" s="43" t="inlineStr">
        <is>
          <t>Super admin connecté</t>
        </is>
      </c>
      <c r="F4" s="43" t="inlineStr">
        <is>
          <t>1. /platform/tenants/new
2. Étape 1: nom, slug, plan, secteur, ville
3. Étape 2: admin email/prénom/nom
4. Étape 3: couleurs</t>
        </is>
      </c>
      <c r="G4" s="43" t="inlineStr">
        <is>
          <t>Tenant créé, schema PostgreSQL provisionné, email admin envoyé, tempPassword affiché</t>
        </is>
      </c>
      <c r="H4" s="43" t="inlineStr"/>
      <c r="I4" s="42" t="inlineStr">
        <is>
          <t>⬜ Non exécuté</t>
        </is>
      </c>
      <c r="J4" s="43" t="inlineStr"/>
      <c r="K4" s="43" t="inlineStr"/>
      <c r="L4" s="43" t="inlineStr"/>
      <c r="M4" s="43" t="inlineStr"/>
      <c r="N4" s="43" t="inlineStr"/>
      <c r="O4" s="43" t="inlineStr">
        <is>
          <t>Sprint 1</t>
        </is>
      </c>
      <c r="P4" s="43" t="inlineStr">
        <is>
          <t>Production</t>
        </is>
      </c>
    </row>
    <row r="5" ht="58" customHeight="1">
      <c r="A5" s="47" t="inlineStr">
        <is>
          <t>PLT-003</t>
        </is>
      </c>
      <c r="B5" s="44" t="inlineStr">
        <is>
          <t>P2 — Haute</t>
        </is>
      </c>
      <c r="C5" s="41" t="inlineStr">
        <is>
          <t>Slug auto-généré depuis le nom</t>
        </is>
      </c>
      <c r="D5" s="41" t="inlineStr">
        <is>
          <t>Le slug se pré-remplit en minuscules-sans-espaces</t>
        </is>
      </c>
      <c r="E5" s="41" t="inlineStr"/>
      <c r="F5" s="41" t="inlineStr">
        <is>
          <t>1. Saisir nom entreprise 'Tech Corp'
2. Observer le champ slug</t>
        </is>
      </c>
      <c r="G5" s="41" t="inlineStr">
        <is>
          <t>Slug = 'tech-corp' (minuscules, tirets, sans caractères spéciaux)</t>
        </is>
      </c>
      <c r="H5" s="41" t="inlineStr"/>
      <c r="I5" s="42" t="inlineStr">
        <is>
          <t>⬜ Non exécuté</t>
        </is>
      </c>
      <c r="J5" s="41" t="inlineStr"/>
      <c r="K5" s="41" t="inlineStr"/>
      <c r="L5" s="41" t="inlineStr"/>
      <c r="M5" s="41" t="inlineStr"/>
      <c r="N5" s="41" t="inlineStr"/>
      <c r="O5" s="41" t="inlineStr">
        <is>
          <t>Sprint 1</t>
        </is>
      </c>
      <c r="P5" s="41" t="inlineStr">
        <is>
          <t>Production</t>
        </is>
      </c>
    </row>
    <row r="6" ht="58" customHeight="1">
      <c r="A6" s="47" t="inlineStr">
        <is>
          <t>PLT-004</t>
        </is>
      </c>
      <c r="B6" s="44" t="inlineStr">
        <is>
          <t>P2 — Haute</t>
        </is>
      </c>
      <c r="C6" s="43" t="inlineStr">
        <is>
          <t>Slug déjà existant → erreur</t>
        </is>
      </c>
      <c r="D6" s="43" t="inlineStr"/>
      <c r="E6" s="43" t="inlineStr">
        <is>
          <t>Tenant 'sotra' existant</t>
        </is>
      </c>
      <c r="F6" s="43" t="inlineStr">
        <is>
          <t>1. Créer un tenant avec slug 'sotra'</t>
        </is>
      </c>
      <c r="G6" s="43" t="inlineStr">
        <is>
          <t>Erreur explicite 'Slug déjà utilisé', formulaire non soumis</t>
        </is>
      </c>
      <c r="H6" s="43" t="inlineStr"/>
      <c r="I6" s="42" t="inlineStr">
        <is>
          <t>⬜ Non exécuté</t>
        </is>
      </c>
      <c r="J6" s="43" t="inlineStr"/>
      <c r="K6" s="43" t="inlineStr"/>
      <c r="L6" s="43" t="inlineStr"/>
      <c r="M6" s="43" t="inlineStr"/>
      <c r="N6" s="43" t="inlineStr"/>
      <c r="O6" s="43" t="inlineStr">
        <is>
          <t>Sprint 1</t>
        </is>
      </c>
      <c r="P6" s="43" t="inlineStr">
        <is>
          <t>Production</t>
        </is>
      </c>
    </row>
    <row r="7" ht="58" customHeight="1">
      <c r="A7" s="47" t="inlineStr">
        <is>
          <t>PLT-005</t>
        </is>
      </c>
      <c r="B7" s="44" t="inlineStr">
        <is>
          <t>P2 — Haute</t>
        </is>
      </c>
      <c r="C7" s="41" t="inlineStr">
        <is>
          <t>Seed données démo (seedDemoData)</t>
        </is>
      </c>
      <c r="D7" s="41" t="inlineStr">
        <is>
          <t>Cocher l'option inject démo lors création</t>
        </is>
      </c>
      <c r="E7" s="41" t="inlineStr"/>
      <c r="F7" s="41" t="inlineStr">
        <is>
          <t>1. Wizard création
2. Cocher 'Injecter données de démonstration'
3. Créer</t>
        </is>
      </c>
      <c r="G7" s="41" t="inlineStr">
        <is>
          <t>8 employés, 3 mois de bulletins créés dans le nouveau tenant, non bloquant</t>
        </is>
      </c>
      <c r="H7" s="41" t="inlineStr"/>
      <c r="I7" s="42" t="inlineStr">
        <is>
          <t>⬜ Non exécuté</t>
        </is>
      </c>
      <c r="J7" s="41" t="inlineStr"/>
      <c r="K7" s="41" t="inlineStr"/>
      <c r="L7" s="41" t="inlineStr"/>
      <c r="M7" s="41" t="inlineStr"/>
      <c r="N7" s="41" t="inlineStr"/>
      <c r="O7" s="41" t="inlineStr">
        <is>
          <t>Sprint 1</t>
        </is>
      </c>
      <c r="P7" s="41" t="inlineStr">
        <is>
          <t>Production</t>
        </is>
      </c>
    </row>
    <row r="8" ht="58" customHeight="1">
      <c r="A8" s="47" t="inlineStr">
        <is>
          <t>PLT-006</t>
        </is>
      </c>
      <c r="B8" s="40" t="inlineStr">
        <is>
          <t>P1 — Critique</t>
        </is>
      </c>
      <c r="C8" s="43" t="inlineStr">
        <is>
          <t>tempPassword retourné dans réponse</t>
        </is>
      </c>
      <c r="D8" s="43" t="inlineStr">
        <is>
          <t>En cas d'échec email, le mdp reste accessible</t>
        </is>
      </c>
      <c r="E8" s="43" t="inlineStr"/>
      <c r="F8" s="43" t="inlineStr">
        <is>
          <t>1. Créer un tenant
2. Observer la réponse écran de confirmation</t>
        </is>
      </c>
      <c r="G8" s="43" t="inlineStr">
        <is>
          <t>Mot de passe temporaire affiché dans l'encart de succès</t>
        </is>
      </c>
      <c r="H8" s="43" t="inlineStr"/>
      <c r="I8" s="42" t="inlineStr">
        <is>
          <t>⬜ Non exécuté</t>
        </is>
      </c>
      <c r="J8" s="43" t="inlineStr"/>
      <c r="K8" s="43" t="inlineStr"/>
      <c r="L8" s="43" t="inlineStr"/>
      <c r="M8" s="43" t="inlineStr"/>
      <c r="N8" s="43" t="inlineStr"/>
      <c r="O8" s="43" t="inlineStr">
        <is>
          <t>Sprint 1</t>
        </is>
      </c>
      <c r="P8" s="43" t="inlineStr">
        <is>
          <t>Production</t>
        </is>
      </c>
    </row>
    <row r="9" ht="58" customHeight="1">
      <c r="A9" s="47" t="inlineStr">
        <is>
          <t>PLT-007</t>
        </is>
      </c>
      <c r="B9" s="40" t="inlineStr">
        <is>
          <t>P1 — Critique</t>
        </is>
      </c>
      <c r="C9" s="41" t="inlineStr">
        <is>
          <t>Liste tenants paginée</t>
        </is>
      </c>
      <c r="D9" s="41" t="inlineStr">
        <is>
          <t>Tableau /platform/tenants</t>
        </is>
      </c>
      <c r="E9" s="41" t="inlineStr">
        <is>
          <t>3+ tenants</t>
        </is>
      </c>
      <c r="F9" s="41" t="inlineStr">
        <is>
          <t>1. Accéder /platform/tenants</t>
        </is>
      </c>
      <c r="G9" s="41" t="inlineStr">
        <is>
          <t>Tableau avec nom, plan, ville, statut, nb users, nb employés, actions</t>
        </is>
      </c>
      <c r="H9" s="41" t="inlineStr"/>
      <c r="I9" s="42" t="inlineStr">
        <is>
          <t>⬜ Non exécuté</t>
        </is>
      </c>
      <c r="J9" s="41" t="inlineStr"/>
      <c r="K9" s="41" t="inlineStr"/>
      <c r="L9" s="41" t="inlineStr"/>
      <c r="M9" s="41" t="inlineStr"/>
      <c r="N9" s="41" t="inlineStr"/>
      <c r="O9" s="41" t="inlineStr">
        <is>
          <t>Sprint 1</t>
        </is>
      </c>
      <c r="P9" s="41" t="inlineStr">
        <is>
          <t>Production</t>
        </is>
      </c>
    </row>
    <row r="10" ht="58" customHeight="1">
      <c r="A10" s="47" t="inlineStr">
        <is>
          <t>PLT-008</t>
        </is>
      </c>
      <c r="B10" s="44" t="inlineStr">
        <is>
          <t>P2 — Haute</t>
        </is>
      </c>
      <c r="C10" s="43" t="inlineStr">
        <is>
          <t>Filtrage tenants par statut</t>
        </is>
      </c>
      <c r="D10" s="43" t="inlineStr">
        <is>
          <t>Filtre active/trial/suspended</t>
        </is>
      </c>
      <c r="E10" s="43" t="inlineStr"/>
      <c r="F10" s="43" t="inlineStr">
        <is>
          <t>1. Utiliser le filtre statut</t>
        </is>
      </c>
      <c r="G10" s="43" t="inlineStr">
        <is>
          <t>Tableau filtré correctement</t>
        </is>
      </c>
      <c r="H10" s="43" t="inlineStr"/>
      <c r="I10" s="42" t="inlineStr">
        <is>
          <t>⬜ Non exécuté</t>
        </is>
      </c>
      <c r="J10" s="43" t="inlineStr"/>
      <c r="K10" s="43" t="inlineStr"/>
      <c r="L10" s="43" t="inlineStr"/>
      <c r="M10" s="43" t="inlineStr"/>
      <c r="N10" s="43" t="inlineStr"/>
      <c r="O10" s="43" t="inlineStr">
        <is>
          <t>Sprint 1</t>
        </is>
      </c>
      <c r="P10" s="43" t="inlineStr">
        <is>
          <t>Production</t>
        </is>
      </c>
    </row>
    <row r="11" ht="58" customHeight="1">
      <c r="A11" s="47" t="inlineStr">
        <is>
          <t>PLT-009</t>
        </is>
      </c>
      <c r="B11" s="40" t="inlineStr">
        <is>
          <t>P1 — Critique</t>
        </is>
      </c>
      <c r="C11" s="41" t="inlineStr">
        <is>
          <t>Détail tenant — 4 onglets</t>
        </is>
      </c>
      <c r="D11" s="41" t="inlineStr">
        <is>
          <t>Apparence, Plan, Modules, Données</t>
        </is>
      </c>
      <c r="E11" s="41" t="inlineStr"/>
      <c r="F11" s="41" t="inlineStr">
        <is>
          <t>1. Cliquer sur un tenant dans la liste</t>
        </is>
      </c>
      <c r="G11" s="41" t="inlineStr">
        <is>
          <t>4 onglets affichés et fonctionnels</t>
        </is>
      </c>
      <c r="H11" s="41" t="inlineStr"/>
      <c r="I11" s="42" t="inlineStr">
        <is>
          <t>⬜ Non exécuté</t>
        </is>
      </c>
      <c r="J11" s="41" t="inlineStr"/>
      <c r="K11" s="41" t="inlineStr"/>
      <c r="L11" s="41" t="inlineStr"/>
      <c r="M11" s="41" t="inlineStr"/>
      <c r="N11" s="41" t="inlineStr"/>
      <c r="O11" s="41" t="inlineStr">
        <is>
          <t>Sprint 1</t>
        </is>
      </c>
      <c r="P11" s="41" t="inlineStr">
        <is>
          <t>Production</t>
        </is>
      </c>
    </row>
    <row r="12" ht="58" customHeight="1">
      <c r="A12" s="47" t="inlineStr">
        <is>
          <t>PLT-010</t>
        </is>
      </c>
      <c r="B12" s="44" t="inlineStr">
        <is>
          <t>P2 — Haute</t>
        </is>
      </c>
      <c r="C12" s="43" t="inlineStr">
        <is>
          <t>Modification apparence — couleur primaire</t>
        </is>
      </c>
      <c r="D12" s="43" t="inlineStr">
        <is>
          <t>Changer couleur et observer preview live</t>
        </is>
      </c>
      <c r="E12" s="43" t="inlineStr"/>
      <c r="F12" s="43" t="inlineStr">
        <is>
          <t>1. Onglet Apparence
2. Changer couleur primaire
3. Observer prévisualisation
4. Sauvegarder</t>
        </is>
      </c>
      <c r="G12" s="43" t="inlineStr">
        <is>
          <t>Couleur mise à jour, preview reflète le changement immédiatement</t>
        </is>
      </c>
      <c r="H12" s="43" t="inlineStr"/>
      <c r="I12" s="42" t="inlineStr">
        <is>
          <t>⬜ Non exécuté</t>
        </is>
      </c>
      <c r="J12" s="43" t="inlineStr"/>
      <c r="K12" s="43" t="inlineStr"/>
      <c r="L12" s="43" t="inlineStr"/>
      <c r="M12" s="43" t="inlineStr"/>
      <c r="N12" s="43" t="inlineStr"/>
      <c r="O12" s="43" t="inlineStr">
        <is>
          <t>Sprint 1</t>
        </is>
      </c>
      <c r="P12" s="43" t="inlineStr">
        <is>
          <t>Production</t>
        </is>
      </c>
    </row>
    <row r="13" ht="58" customHeight="1">
      <c r="A13" s="47" t="inlineStr">
        <is>
          <t>PLT-011</t>
        </is>
      </c>
      <c r="B13" s="44" t="inlineStr">
        <is>
          <t>P2 — Haute</t>
        </is>
      </c>
      <c r="C13" s="41" t="inlineStr">
        <is>
          <t>Modification plan tenant</t>
        </is>
      </c>
      <c r="D13" s="41" t="inlineStr">
        <is>
          <t>Changer de trial → business</t>
        </is>
      </c>
      <c r="E13" s="41" t="inlineStr"/>
      <c r="F13" s="41" t="inlineStr">
        <is>
          <t>1. Onglet Plan
2. Sélectionner Business
3. Sauvegarder</t>
        </is>
      </c>
      <c r="G13" s="41" t="inlineStr">
        <is>
          <t>Plan mis à jour dans platform.tenants, maxUsers/maxEmployees ajustés selon PLAN_DEFAULTS</t>
        </is>
      </c>
      <c r="H13" s="41" t="inlineStr"/>
      <c r="I13" s="42" t="inlineStr">
        <is>
          <t>⬜ Non exécuté</t>
        </is>
      </c>
      <c r="J13" s="41" t="inlineStr"/>
      <c r="K13" s="41" t="inlineStr"/>
      <c r="L13" s="41" t="inlineStr"/>
      <c r="M13" s="41" t="inlineStr"/>
      <c r="N13" s="41" t="inlineStr"/>
      <c r="O13" s="41" t="inlineStr">
        <is>
          <t>Sprint 1</t>
        </is>
      </c>
      <c r="P13" s="41" t="inlineStr">
        <is>
          <t>Production</t>
        </is>
      </c>
    </row>
    <row r="14" ht="58" customHeight="1">
      <c r="A14" s="47" t="inlineStr">
        <is>
          <t>PLT-012</t>
        </is>
      </c>
      <c r="B14" s="44" t="inlineStr">
        <is>
          <t>P2 — Haute</t>
        </is>
      </c>
      <c r="C14" s="43" t="inlineStr">
        <is>
          <t>Suspension tenant</t>
        </is>
      </c>
      <c r="D14" s="43" t="inlineStr">
        <is>
          <t>Tenant passé en statut suspended</t>
        </is>
      </c>
      <c r="E14" s="43" t="inlineStr"/>
      <c r="F14" s="43" t="inlineStr">
        <is>
          <t>1. Onglet Plan → Suspendre</t>
        </is>
      </c>
      <c r="G14" s="43" t="inlineStr">
        <is>
          <t>Status = suspended, login des users du tenant retourne erreur</t>
        </is>
      </c>
      <c r="H14" s="43" t="inlineStr"/>
      <c r="I14" s="42" t="inlineStr">
        <is>
          <t>⬜ Non exécuté</t>
        </is>
      </c>
      <c r="J14" s="43" t="inlineStr"/>
      <c r="K14" s="43" t="inlineStr"/>
      <c r="L14" s="43" t="inlineStr"/>
      <c r="M14" s="43" t="inlineStr"/>
      <c r="N14" s="43" t="inlineStr"/>
      <c r="O14" s="43" t="inlineStr">
        <is>
          <t>Sprint 1</t>
        </is>
      </c>
      <c r="P14" s="43" t="inlineStr">
        <is>
          <t>Production</t>
        </is>
      </c>
    </row>
    <row r="15" ht="58" customHeight="1">
      <c r="A15" s="47" t="inlineStr">
        <is>
          <t>PLT-013</t>
        </is>
      </c>
      <c r="B15" s="44" t="inlineStr">
        <is>
          <t>P2 — Haute</t>
        </is>
      </c>
      <c r="C15" s="41" t="inlineStr">
        <is>
          <t>Réactivation tenant</t>
        </is>
      </c>
      <c r="D15" s="41" t="inlineStr"/>
      <c r="E15" s="41" t="inlineStr">
        <is>
          <t>Tenant suspendu</t>
        </is>
      </c>
      <c r="F15" s="41" t="inlineStr">
        <is>
          <t>1. Onglet Plan → Réactiver</t>
        </is>
      </c>
      <c r="G15" s="41" t="inlineStr">
        <is>
          <t>Status = active, users peuvent se reconnecter</t>
        </is>
      </c>
      <c r="H15" s="41" t="inlineStr"/>
      <c r="I15" s="42" t="inlineStr">
        <is>
          <t>⬜ Non exécuté</t>
        </is>
      </c>
      <c r="J15" s="41" t="inlineStr"/>
      <c r="K15" s="41" t="inlineStr"/>
      <c r="L15" s="41" t="inlineStr"/>
      <c r="M15" s="41" t="inlineStr"/>
      <c r="N15" s="41" t="inlineStr"/>
      <c r="O15" s="41" t="inlineStr">
        <is>
          <t>Sprint 1</t>
        </is>
      </c>
      <c r="P15" s="41" t="inlineStr">
        <is>
          <t>Production</t>
        </is>
      </c>
    </row>
    <row r="16" ht="58" customHeight="1">
      <c r="A16" s="47" t="inlineStr">
        <is>
          <t>PLT-014</t>
        </is>
      </c>
      <c r="B16" s="44" t="inlineStr">
        <is>
          <t>P2 — Haute</t>
        </is>
      </c>
      <c r="C16" s="43" t="inlineStr">
        <is>
          <t>Consulter utilisateurs tenant</t>
        </is>
      </c>
      <c r="D16" s="43" t="inlineStr">
        <is>
          <t>Lecture seule des users d'un tenant</t>
        </is>
      </c>
      <c r="E16" s="43" t="inlineStr"/>
      <c r="F16" s="43" t="inlineStr">
        <is>
          <t>1. /platform/tenants/:id/users</t>
        </is>
      </c>
      <c r="G16" s="43" t="inlineStr">
        <is>
          <t>Liste avec email, rôle, statut, date création — pas de création depuis ici</t>
        </is>
      </c>
      <c r="H16" s="43" t="inlineStr"/>
      <c r="I16" s="42" t="inlineStr">
        <is>
          <t>⬜ Non exécuté</t>
        </is>
      </c>
      <c r="J16" s="43" t="inlineStr"/>
      <c r="K16" s="43" t="inlineStr"/>
      <c r="L16" s="43" t="inlineStr"/>
      <c r="M16" s="43" t="inlineStr"/>
      <c r="N16" s="43" t="inlineStr"/>
      <c r="O16" s="43" t="inlineStr">
        <is>
          <t>Sprint 1</t>
        </is>
      </c>
      <c r="P16" s="43" t="inlineStr">
        <is>
          <t>Production</t>
        </is>
      </c>
    </row>
    <row r="17" ht="58" customHeight="1">
      <c r="A17" s="47" t="inlineStr">
        <is>
          <t>PLT-015</t>
        </is>
      </c>
      <c r="B17" s="44" t="inlineStr">
        <is>
          <t>P2 — Haute</t>
        </is>
      </c>
      <c r="C17" s="41" t="inlineStr">
        <is>
          <t>Suspension utilisateur tenant</t>
        </is>
      </c>
      <c r="D17" s="41" t="inlineStr"/>
      <c r="E17" s="41" t="inlineStr"/>
      <c r="F17" s="41" t="inlineStr">
        <is>
          <t>1. Trouver un utilisateur
2. Cliquer Suspendre</t>
        </is>
      </c>
      <c r="G17" s="41" t="inlineStr">
        <is>
          <t>is_active = false, cet user ne peut plus se connecter</t>
        </is>
      </c>
      <c r="H17" s="41" t="inlineStr"/>
      <c r="I17" s="42" t="inlineStr">
        <is>
          <t>⬜ Non exécuté</t>
        </is>
      </c>
      <c r="J17" s="41" t="inlineStr"/>
      <c r="K17" s="41" t="inlineStr"/>
      <c r="L17" s="41" t="inlineStr"/>
      <c r="M17" s="41" t="inlineStr"/>
      <c r="N17" s="41" t="inlineStr"/>
      <c r="O17" s="41" t="inlineStr">
        <is>
          <t>Sprint 1</t>
        </is>
      </c>
      <c r="P17" s="41" t="inlineStr">
        <is>
          <t>Production</t>
        </is>
      </c>
    </row>
    <row r="18" ht="58" customHeight="1">
      <c r="A18" s="47" t="inlineStr">
        <is>
          <t>PLT-016</t>
        </is>
      </c>
      <c r="B18" s="44" t="inlineStr">
        <is>
          <t>P2 — Haute</t>
        </is>
      </c>
      <c r="C18" s="43" t="inlineStr">
        <is>
          <t>Reset admin tenant</t>
        </is>
      </c>
      <c r="D18" s="43" t="inlineStr">
        <is>
          <t>Regénérer un mdp temporaire pour l'admin</t>
        </is>
      </c>
      <c r="E18" s="43" t="inlineStr"/>
      <c r="F18" s="43" t="inlineStr">
        <is>
          <t>1. POST /platform/tenants/:id/reset-admin</t>
        </is>
      </c>
      <c r="G18" s="43" t="inlineStr">
        <is>
          <t>Nouveau tempPassword retourné + email envoyé</t>
        </is>
      </c>
      <c r="H18" s="43" t="inlineStr"/>
      <c r="I18" s="42" t="inlineStr">
        <is>
          <t>⬜ Non exécuté</t>
        </is>
      </c>
      <c r="J18" s="43" t="inlineStr"/>
      <c r="K18" s="43" t="inlineStr"/>
      <c r="L18" s="43" t="inlineStr"/>
      <c r="M18" s="43" t="inlineStr"/>
      <c r="N18" s="43" t="inlineStr"/>
      <c r="O18" s="43" t="inlineStr">
        <is>
          <t>Sprint 1</t>
        </is>
      </c>
      <c r="P18" s="43" t="inlineStr">
        <is>
          <t>Production</t>
        </is>
      </c>
    </row>
    <row r="19" ht="58" customHeight="1">
      <c r="A19" s="47" t="inlineStr">
        <is>
          <t>PLT-017</t>
        </is>
      </c>
      <c r="B19" s="45" t="inlineStr">
        <is>
          <t>P3 — Moyenne</t>
        </is>
      </c>
      <c r="C19" s="41" t="inlineStr">
        <is>
          <t>Diagnostic admin-status</t>
        </is>
      </c>
      <c r="D19" s="41" t="inlineStr">
        <is>
          <t>GET /platform/tenants/:id/admin-status</t>
        </is>
      </c>
      <c r="E19" s="41" t="inlineStr"/>
      <c r="F19" s="41" t="inlineStr">
        <is>
          <t>1. Appeler l'endpoint via Swagger</t>
        </is>
      </c>
      <c r="G19" s="41" t="inlineStr">
        <is>
          <t>JSON avec schemaExists, adminUser.isActive, hasPasswordHash, issue</t>
        </is>
      </c>
      <c r="H19" s="41" t="inlineStr"/>
      <c r="I19" s="42" t="inlineStr">
        <is>
          <t>⬜ Non exécuté</t>
        </is>
      </c>
      <c r="J19" s="41" t="inlineStr"/>
      <c r="K19" s="41" t="inlineStr"/>
      <c r="L19" s="41" t="inlineStr"/>
      <c r="M19" s="41" t="inlineStr"/>
      <c r="N19" s="41" t="inlineStr"/>
      <c r="O19" s="41" t="inlineStr">
        <is>
          <t>Sprint 1</t>
        </is>
      </c>
      <c r="P19" s="41" t="inlineStr">
        <is>
          <t>Production</t>
        </is>
      </c>
    </row>
    <row r="20" ht="58" customHeight="1">
      <c r="A20" s="47" t="inlineStr">
        <is>
          <t>PLT-018</t>
        </is>
      </c>
      <c r="B20" s="40" t="inlineStr">
        <is>
          <t>P1 — Critique</t>
        </is>
      </c>
      <c r="C20" s="43" t="inlineStr">
        <is>
          <t>Logs activité cross-tenant</t>
        </is>
      </c>
      <c r="D20" s="43" t="inlineStr">
        <is>
          <t>/platform/logs</t>
        </is>
      </c>
      <c r="E20" s="43" t="inlineStr"/>
      <c r="F20" s="43" t="inlineStr">
        <is>
          <t>1. Accéder /platform/logs</t>
        </is>
      </c>
      <c r="G20" s="43" t="inlineStr">
        <is>
          <t>Logs triés par date, avec tenant, user, action, IP</t>
        </is>
      </c>
      <c r="H20" s="43" t="inlineStr"/>
      <c r="I20" s="42" t="inlineStr">
        <is>
          <t>⬜ Non exécuté</t>
        </is>
      </c>
      <c r="J20" s="43" t="inlineStr"/>
      <c r="K20" s="43" t="inlineStr"/>
      <c r="L20" s="43" t="inlineStr"/>
      <c r="M20" s="43" t="inlineStr"/>
      <c r="N20" s="43" t="inlineStr"/>
      <c r="O20" s="43" t="inlineStr">
        <is>
          <t>Sprint 1</t>
        </is>
      </c>
      <c r="P20" s="43" t="inlineStr">
        <is>
          <t>Production</t>
        </is>
      </c>
    </row>
    <row r="21" ht="58" customHeight="1">
      <c r="A21" s="47" t="inlineStr">
        <is>
          <t>PLT-019</t>
        </is>
      </c>
      <c r="B21" s="45" t="inlineStr">
        <is>
          <t>P3 — Moyenne</t>
        </is>
      </c>
      <c r="C21" s="41" t="inlineStr">
        <is>
          <t>Alerte trials expirant &lt; 7 jours</t>
        </is>
      </c>
      <c r="D21" s="41" t="inlineStr">
        <is>
          <t>Dashboard plateforme signale les essais proches de l'expiration</t>
        </is>
      </c>
      <c r="E21" s="41" t="inlineStr">
        <is>
          <t>Tenant trial.endsAt dans &lt; 7j</t>
        </is>
      </c>
      <c r="F21" s="41" t="inlineStr">
        <is>
          <t>1. Observer le panneau alertes du dashboard</t>
        </is>
      </c>
      <c r="G21" s="41" t="inlineStr">
        <is>
          <t>Badge rouge avec le nom du tenant et date d'expiration</t>
        </is>
      </c>
      <c r="H21" s="41" t="inlineStr"/>
      <c r="I21" s="42" t="inlineStr">
        <is>
          <t>⬜ Non exécuté</t>
        </is>
      </c>
      <c r="J21" s="41" t="inlineStr"/>
      <c r="K21" s="41" t="inlineStr"/>
      <c r="L21" s="41" t="inlineStr"/>
      <c r="M21" s="41" t="inlineStr"/>
      <c r="N21" s="41" t="inlineStr"/>
      <c r="O21" s="41" t="inlineStr">
        <is>
          <t>Sprint 1</t>
        </is>
      </c>
      <c r="P21" s="41" t="inlineStr">
        <is>
          <t>Production</t>
        </is>
      </c>
    </row>
    <row r="22" ht="58" customHeight="1">
      <c r="A22" s="47" t="inlineStr">
        <is>
          <t>PLT-020</t>
        </is>
      </c>
      <c r="B22" s="44" t="inlineStr">
        <is>
          <t>P2 — Haute</t>
        </is>
      </c>
      <c r="C22" s="43" t="inlineStr">
        <is>
          <t>Thématisation dynamique au login</t>
        </is>
      </c>
      <c r="D22" s="43" t="inlineStr">
        <is>
          <t>Au login, les couleurs tenant s'appliquent</t>
        </is>
      </c>
      <c r="E22" s="43" t="inlineStr"/>
      <c r="F22" s="43" t="inlineStr">
        <is>
          <t>1. Accéder page login SOTRA
2. Saisir admin@sotra.ci</t>
        </is>
      </c>
      <c r="G22" s="43" t="inlineStr">
        <is>
          <t>Bouton login orange (#E85D04), logo SOTRA visible avant même de se connecter</t>
        </is>
      </c>
      <c r="H22" s="43" t="inlineStr"/>
      <c r="I22" s="42" t="inlineStr">
        <is>
          <t>⬜ Non exécuté</t>
        </is>
      </c>
      <c r="J22" s="43" t="inlineStr"/>
      <c r="K22" s="43" t="inlineStr"/>
      <c r="L22" s="43" t="inlineStr"/>
      <c r="M22" s="43" t="inlineStr"/>
      <c r="N22" s="43" t="inlineStr"/>
      <c r="O22" s="43" t="inlineStr">
        <is>
          <t>Sprint 1</t>
        </is>
      </c>
      <c r="P22" s="43" t="inlineStr">
        <is>
          <t>Production</t>
        </is>
      </c>
    </row>
    <row r="23" ht="58" customHeight="1">
      <c r="A23" s="47" t="inlineStr">
        <is>
          <t>PLT-021</t>
        </is>
      </c>
      <c r="B23" s="45" t="inlineStr">
        <is>
          <t>P3 — Moyenne</t>
        </is>
      </c>
      <c r="C23" s="41" t="inlineStr">
        <is>
          <t>Graphique croissance tenants 12 mois</t>
        </is>
      </c>
      <c r="D23" s="41" t="inlineStr">
        <is>
          <t>LineChart sur le dashboard plateforme</t>
        </is>
      </c>
      <c r="E23" s="41" t="inlineStr"/>
      <c r="F23" s="41" t="inlineStr">
        <is>
          <t>1. Observer le graphique dashboard plateforme</t>
        </is>
      </c>
      <c r="G23" s="41" t="inlineStr">
        <is>
          <t>Courbe affichée avec données des 12 derniers mois</t>
        </is>
      </c>
      <c r="H23" s="41" t="inlineStr"/>
      <c r="I23" s="42" t="inlineStr">
        <is>
          <t>⬜ Non exécuté</t>
        </is>
      </c>
      <c r="J23" s="41" t="inlineStr"/>
      <c r="K23" s="41" t="inlineStr"/>
      <c r="L23" s="41" t="inlineStr"/>
      <c r="M23" s="41" t="inlineStr"/>
      <c r="N23" s="41" t="inlineStr"/>
      <c r="O23" s="41" t="inlineStr">
        <is>
          <t>Sprint 1</t>
        </is>
      </c>
      <c r="P23" s="41" t="inlineStr">
        <is>
          <t>Production</t>
        </is>
      </c>
    </row>
    <row r="24" ht="58" customHeight="1">
      <c r="A24" s="47" t="inlineStr">
        <is>
          <t>PLT-022</t>
        </is>
      </c>
      <c r="B24" s="44" t="inlineStr">
        <is>
          <t>P2 — Haute</t>
        </is>
      </c>
      <c r="C24" s="43" t="inlineStr">
        <is>
          <t>MRR estimé FCFA</t>
        </is>
      </c>
      <c r="D24" s="43" t="inlineStr">
        <is>
          <t>KPI card affiche le revenu mensuel récurrent estimé</t>
        </is>
      </c>
      <c r="E24" s="43" t="inlineStr"/>
      <c r="F24" s="43" t="inlineStr">
        <is>
          <t>1. Observer KPI dashboard plateforme</t>
        </is>
      </c>
      <c r="G24" s="43" t="inlineStr">
        <is>
          <t>Valeur en FCFA calculée selon plan × tarif indicatif</t>
        </is>
      </c>
      <c r="H24" s="43" t="inlineStr"/>
      <c r="I24" s="42" t="inlineStr">
        <is>
          <t>⬜ Non exécuté</t>
        </is>
      </c>
      <c r="J24" s="43" t="inlineStr"/>
      <c r="K24" s="43" t="inlineStr"/>
      <c r="L24" s="43" t="inlineStr"/>
      <c r="M24" s="43" t="inlineStr"/>
      <c r="N24" s="43" t="inlineStr"/>
      <c r="O24" s="43" t="inlineStr">
        <is>
          <t>Sprint 1</t>
        </is>
      </c>
      <c r="P24" s="43" t="inlineStr">
        <is>
          <t>Production</t>
        </is>
      </c>
    </row>
    <row r="25" ht="58" customHeight="1">
      <c r="A25" s="47" t="inlineStr">
        <is>
          <t>PLT-023</t>
        </is>
      </c>
      <c r="B25" s="44" t="inlineStr">
        <is>
          <t>P2 — Haute</t>
        </is>
      </c>
      <c r="C25" s="41" t="inlineStr">
        <is>
          <t>Feature flags par tenant</t>
        </is>
      </c>
      <c r="D25" s="41" t="inlineStr">
        <is>
          <t>Activer/désactiver modules individuellement</t>
        </is>
      </c>
      <c r="E25" s="41" t="inlineStr"/>
      <c r="F25" s="41" t="inlineStr">
        <is>
          <t>1. Onglet Modules d'un tenant
2. Désactiver 'IA Assistant'
3. Connecter admin du tenant</t>
        </is>
      </c>
      <c r="G25" s="41" t="inlineStr">
        <is>
          <t>Module IA n'apparaît pas dans la sidebar du tenant</t>
        </is>
      </c>
      <c r="H25" s="41" t="inlineStr"/>
      <c r="I25" s="42" t="inlineStr">
        <is>
          <t>⬜ Non exécuté</t>
        </is>
      </c>
      <c r="J25" s="41" t="inlineStr"/>
      <c r="K25" s="41" t="inlineStr"/>
      <c r="L25" s="41" t="inlineStr"/>
      <c r="M25" s="41" t="inlineStr"/>
      <c r="N25" s="41" t="inlineStr"/>
      <c r="O25" s="41" t="inlineStr">
        <is>
          <t>Sprint 1</t>
        </is>
      </c>
      <c r="P25" s="41" t="inlineStr">
        <is>
          <t>Production</t>
        </is>
      </c>
    </row>
  </sheetData>
  <mergeCells count="1">
    <mergeCell ref="A1:P1"/>
  </mergeCells>
  <conditionalFormatting sqref="A3:P25">
    <cfRule type="expression" priority="1" dxfId="0">
      <formula>$I3="✅ Passé"</formula>
    </cfRule>
    <cfRule type="expression" priority="2" dxfId="1">
      <formula>$I3="❌ Échoué"</formula>
    </cfRule>
    <cfRule type="expression" priority="3" dxfId="2">
      <formula>$I3="⚠️ Bloqué"</formula>
    </cfRule>
    <cfRule type="expression" priority="4" dxfId="3">
      <formula>$I3="▶️ En cours"</formula>
    </cfRule>
    <cfRule type="expression" priority="5" dxfId="4">
      <formula>$I3="⬜ Non exécuté"</formula>
    </cfRule>
  </conditionalFormatting>
  <dataValidations count="69">
    <dataValidation sqref="I3" showDropDown="0" showInputMessage="0" showErrorMessage="0" allowBlank="1" type="list">
      <formula1>"✅ Passé,❌ Échoué,⚠️ Bloqué,▶️ En cours,⬜ Non exécuté"</formula1>
    </dataValidation>
    <dataValidation sqref="B3" showDropDown="0" showInputMessage="0" showErrorMessage="0" allowBlank="1" type="list">
      <formula1>"P1 — Critique,P2 — Haute,P3 — Moyenne,P4 — Basse"</formula1>
    </dataValidation>
    <dataValidation sqref="P3" showDropDown="0" showInputMessage="0" showErrorMessage="0" allowBlank="1" type="list">
      <formula1>"Production,Preprod,Local"</formula1>
    </dataValidation>
    <dataValidation sqref="I4" showDropDown="0" showInputMessage="0" showErrorMessage="0" allowBlank="1" type="list">
      <formula1>"✅ Passé,❌ Échoué,⚠️ Bloqué,▶️ En cours,⬜ Non exécuté"</formula1>
    </dataValidation>
    <dataValidation sqref="B4" showDropDown="0" showInputMessage="0" showErrorMessage="0" allowBlank="1" type="list">
      <formula1>"P1 — Critique,P2 — Haute,P3 — Moyenne,P4 — Basse"</formula1>
    </dataValidation>
    <dataValidation sqref="P4" showDropDown="0" showInputMessage="0" showErrorMessage="0" allowBlank="1" type="list">
      <formula1>"Production,Preprod,Local"</formula1>
    </dataValidation>
    <dataValidation sqref="I5" showDropDown="0" showInputMessage="0" showErrorMessage="0" allowBlank="1" type="list">
      <formula1>"✅ Passé,❌ Échoué,⚠️ Bloqué,▶️ En cours,⬜ Non exécuté"</formula1>
    </dataValidation>
    <dataValidation sqref="B5" showDropDown="0" showInputMessage="0" showErrorMessage="0" allowBlank="1" type="list">
      <formula1>"P1 — Critique,P2 — Haute,P3 — Moyenne,P4 — Basse"</formula1>
    </dataValidation>
    <dataValidation sqref="P5" showDropDown="0" showInputMessage="0" showErrorMessage="0" allowBlank="1" type="list">
      <formula1>"Production,Preprod,Local"</formula1>
    </dataValidation>
    <dataValidation sqref="I6" showDropDown="0" showInputMessage="0" showErrorMessage="0" allowBlank="1" type="list">
      <formula1>"✅ Passé,❌ Échoué,⚠️ Bloqué,▶️ En cours,⬜ Non exécuté"</formula1>
    </dataValidation>
    <dataValidation sqref="B6" showDropDown="0" showInputMessage="0" showErrorMessage="0" allowBlank="1" type="list">
      <formula1>"P1 — Critique,P2 — Haute,P3 — Moyenne,P4 — Basse"</formula1>
    </dataValidation>
    <dataValidation sqref="P6" showDropDown="0" showInputMessage="0" showErrorMessage="0" allowBlank="1" type="list">
      <formula1>"Production,Preprod,Local"</formula1>
    </dataValidation>
    <dataValidation sqref="I7" showDropDown="0" showInputMessage="0" showErrorMessage="0" allowBlank="1" type="list">
      <formula1>"✅ Passé,❌ Échoué,⚠️ Bloqué,▶️ En cours,⬜ Non exécuté"</formula1>
    </dataValidation>
    <dataValidation sqref="B7" showDropDown="0" showInputMessage="0" showErrorMessage="0" allowBlank="1" type="list">
      <formula1>"P1 — Critique,P2 — Haute,P3 — Moyenne,P4 — Basse"</formula1>
    </dataValidation>
    <dataValidation sqref="P7" showDropDown="0" showInputMessage="0" showErrorMessage="0" allowBlank="1" type="list">
      <formula1>"Production,Preprod,Local"</formula1>
    </dataValidation>
    <dataValidation sqref="I8" showDropDown="0" showInputMessage="0" showErrorMessage="0" allowBlank="1" type="list">
      <formula1>"✅ Passé,❌ Échoué,⚠️ Bloqué,▶️ En cours,⬜ Non exécuté"</formula1>
    </dataValidation>
    <dataValidation sqref="B8" showDropDown="0" showInputMessage="0" showErrorMessage="0" allowBlank="1" type="list">
      <formula1>"P1 — Critique,P2 — Haute,P3 — Moyenne,P4 — Basse"</formula1>
    </dataValidation>
    <dataValidation sqref="P8" showDropDown="0" showInputMessage="0" showErrorMessage="0" allowBlank="1" type="list">
      <formula1>"Production,Preprod,Local"</formula1>
    </dataValidation>
    <dataValidation sqref="I9" showDropDown="0" showInputMessage="0" showErrorMessage="0" allowBlank="1" type="list">
      <formula1>"✅ Passé,❌ Échoué,⚠️ Bloqué,▶️ En cours,⬜ Non exécuté"</formula1>
    </dataValidation>
    <dataValidation sqref="B9" showDropDown="0" showInputMessage="0" showErrorMessage="0" allowBlank="1" type="list">
      <formula1>"P1 — Critique,P2 — Haute,P3 — Moyenne,P4 — Basse"</formula1>
    </dataValidation>
    <dataValidation sqref="P9" showDropDown="0" showInputMessage="0" showErrorMessage="0" allowBlank="1" type="list">
      <formula1>"Production,Preprod,Local"</formula1>
    </dataValidation>
    <dataValidation sqref="I10" showDropDown="0" showInputMessage="0" showErrorMessage="0" allowBlank="1" type="list">
      <formula1>"✅ Passé,❌ Échoué,⚠️ Bloqué,▶️ En cours,⬜ Non exécuté"</formula1>
    </dataValidation>
    <dataValidation sqref="B10" showDropDown="0" showInputMessage="0" showErrorMessage="0" allowBlank="1" type="list">
      <formula1>"P1 — Critique,P2 — Haute,P3 — Moyenne,P4 — Basse"</formula1>
    </dataValidation>
    <dataValidation sqref="P10" showDropDown="0" showInputMessage="0" showErrorMessage="0" allowBlank="1" type="list">
      <formula1>"Production,Preprod,Local"</formula1>
    </dataValidation>
    <dataValidation sqref="I11" showDropDown="0" showInputMessage="0" showErrorMessage="0" allowBlank="1" type="list">
      <formula1>"✅ Passé,❌ Échoué,⚠️ Bloqué,▶️ En cours,⬜ Non exécuté"</formula1>
    </dataValidation>
    <dataValidation sqref="B11" showDropDown="0" showInputMessage="0" showErrorMessage="0" allowBlank="1" type="list">
      <formula1>"P1 — Critique,P2 — Haute,P3 — Moyenne,P4 — Basse"</formula1>
    </dataValidation>
    <dataValidation sqref="P11" showDropDown="0" showInputMessage="0" showErrorMessage="0" allowBlank="1" type="list">
      <formula1>"Production,Preprod,Local"</formula1>
    </dataValidation>
    <dataValidation sqref="I12" showDropDown="0" showInputMessage="0" showErrorMessage="0" allowBlank="1" type="list">
      <formula1>"✅ Passé,❌ Échoué,⚠️ Bloqué,▶️ En cours,⬜ Non exécuté"</formula1>
    </dataValidation>
    <dataValidation sqref="B12" showDropDown="0" showInputMessage="0" showErrorMessage="0" allowBlank="1" type="list">
      <formula1>"P1 — Critique,P2 — Haute,P3 — Moyenne,P4 — Basse"</formula1>
    </dataValidation>
    <dataValidation sqref="P12" showDropDown="0" showInputMessage="0" showErrorMessage="0" allowBlank="1" type="list">
      <formula1>"Production,Preprod,Local"</formula1>
    </dataValidation>
    <dataValidation sqref="I13" showDropDown="0" showInputMessage="0" showErrorMessage="0" allowBlank="1" type="list">
      <formula1>"✅ Passé,❌ Échoué,⚠️ Bloqué,▶️ En cours,⬜ Non exécuté"</formula1>
    </dataValidation>
    <dataValidation sqref="B13" showDropDown="0" showInputMessage="0" showErrorMessage="0" allowBlank="1" type="list">
      <formula1>"P1 — Critique,P2 — Haute,P3 — Moyenne,P4 — Basse"</formula1>
    </dataValidation>
    <dataValidation sqref="P13" showDropDown="0" showInputMessage="0" showErrorMessage="0" allowBlank="1" type="list">
      <formula1>"Production,Preprod,Local"</formula1>
    </dataValidation>
    <dataValidation sqref="I14" showDropDown="0" showInputMessage="0" showErrorMessage="0" allowBlank="1" type="list">
      <formula1>"✅ Passé,❌ Échoué,⚠️ Bloqué,▶️ En cours,⬜ Non exécuté"</formula1>
    </dataValidation>
    <dataValidation sqref="B14" showDropDown="0" showInputMessage="0" showErrorMessage="0" allowBlank="1" type="list">
      <formula1>"P1 — Critique,P2 — Haute,P3 — Moyenne,P4 — Basse"</formula1>
    </dataValidation>
    <dataValidation sqref="P14" showDropDown="0" showInputMessage="0" showErrorMessage="0" allowBlank="1" type="list">
      <formula1>"Production,Preprod,Local"</formula1>
    </dataValidation>
    <dataValidation sqref="I15" showDropDown="0" showInputMessage="0" showErrorMessage="0" allowBlank="1" type="list">
      <formula1>"✅ Passé,❌ Échoué,⚠️ Bloqué,▶️ En cours,⬜ Non exécuté"</formula1>
    </dataValidation>
    <dataValidation sqref="B15" showDropDown="0" showInputMessage="0" showErrorMessage="0" allowBlank="1" type="list">
      <formula1>"P1 — Critique,P2 — Haute,P3 — Moyenne,P4 — Basse"</formula1>
    </dataValidation>
    <dataValidation sqref="P15" showDropDown="0" showInputMessage="0" showErrorMessage="0" allowBlank="1" type="list">
      <formula1>"Production,Preprod,Local"</formula1>
    </dataValidation>
    <dataValidation sqref="I16" showDropDown="0" showInputMessage="0" showErrorMessage="0" allowBlank="1" type="list">
      <formula1>"✅ Passé,❌ Échoué,⚠️ Bloqué,▶️ En cours,⬜ Non exécuté"</formula1>
    </dataValidation>
    <dataValidation sqref="B16" showDropDown="0" showInputMessage="0" showErrorMessage="0" allowBlank="1" type="list">
      <formula1>"P1 — Critique,P2 — Haute,P3 — Moyenne,P4 — Basse"</formula1>
    </dataValidation>
    <dataValidation sqref="P16" showDropDown="0" showInputMessage="0" showErrorMessage="0" allowBlank="1" type="list">
      <formula1>"Production,Preprod,Local"</formula1>
    </dataValidation>
    <dataValidation sqref="I17" showDropDown="0" showInputMessage="0" showErrorMessage="0" allowBlank="1" type="list">
      <formula1>"✅ Passé,❌ Échoué,⚠️ Bloqué,▶️ En cours,⬜ Non exécuté"</formula1>
    </dataValidation>
    <dataValidation sqref="B17" showDropDown="0" showInputMessage="0" showErrorMessage="0" allowBlank="1" type="list">
      <formula1>"P1 — Critique,P2 — Haute,P3 — Moyenne,P4 — Basse"</formula1>
    </dataValidation>
    <dataValidation sqref="P17" showDropDown="0" showInputMessage="0" showErrorMessage="0" allowBlank="1" type="list">
      <formula1>"Production,Preprod,Local"</formula1>
    </dataValidation>
    <dataValidation sqref="I18" showDropDown="0" showInputMessage="0" showErrorMessage="0" allowBlank="1" type="list">
      <formula1>"✅ Passé,❌ Échoué,⚠️ Bloqué,▶️ En cours,⬜ Non exécuté"</formula1>
    </dataValidation>
    <dataValidation sqref="B18" showDropDown="0" showInputMessage="0" showErrorMessage="0" allowBlank="1" type="list">
      <formula1>"P1 — Critique,P2 — Haute,P3 — Moyenne,P4 — Basse"</formula1>
    </dataValidation>
    <dataValidation sqref="P18" showDropDown="0" showInputMessage="0" showErrorMessage="0" allowBlank="1" type="list">
      <formula1>"Production,Preprod,Local"</formula1>
    </dataValidation>
    <dataValidation sqref="I19" showDropDown="0" showInputMessage="0" showErrorMessage="0" allowBlank="1" type="list">
      <formula1>"✅ Passé,❌ Échoué,⚠️ Bloqué,▶️ En cours,⬜ Non exécuté"</formula1>
    </dataValidation>
    <dataValidation sqref="B19" showDropDown="0" showInputMessage="0" showErrorMessage="0" allowBlank="1" type="list">
      <formula1>"P1 — Critique,P2 — Haute,P3 — Moyenne,P4 — Basse"</formula1>
    </dataValidation>
    <dataValidation sqref="P19" showDropDown="0" showInputMessage="0" showErrorMessage="0" allowBlank="1" type="list">
      <formula1>"Production,Preprod,Local"</formula1>
    </dataValidation>
    <dataValidation sqref="I20" showDropDown="0" showInputMessage="0" showErrorMessage="0" allowBlank="1" type="list">
      <formula1>"✅ Passé,❌ Échoué,⚠️ Bloqué,▶️ En cours,⬜ Non exécuté"</formula1>
    </dataValidation>
    <dataValidation sqref="B20" showDropDown="0" showInputMessage="0" showErrorMessage="0" allowBlank="1" type="list">
      <formula1>"P1 — Critique,P2 — Haute,P3 — Moyenne,P4 — Basse"</formula1>
    </dataValidation>
    <dataValidation sqref="P20" showDropDown="0" showInputMessage="0" showErrorMessage="0" allowBlank="1" type="list">
      <formula1>"Production,Preprod,Local"</formula1>
    </dataValidation>
    <dataValidation sqref="I21" showDropDown="0" showInputMessage="0" showErrorMessage="0" allowBlank="1" type="list">
      <formula1>"✅ Passé,❌ Échoué,⚠️ Bloqué,▶️ En cours,⬜ Non exécuté"</formula1>
    </dataValidation>
    <dataValidation sqref="B21" showDropDown="0" showInputMessage="0" showErrorMessage="0" allowBlank="1" type="list">
      <formula1>"P1 — Critique,P2 — Haute,P3 — Moyenne,P4 — Basse"</formula1>
    </dataValidation>
    <dataValidation sqref="P21" showDropDown="0" showInputMessage="0" showErrorMessage="0" allowBlank="1" type="list">
      <formula1>"Production,Preprod,Local"</formula1>
    </dataValidation>
    <dataValidation sqref="I22" showDropDown="0" showInputMessage="0" showErrorMessage="0" allowBlank="1" type="list">
      <formula1>"✅ Passé,❌ Échoué,⚠️ Bloqué,▶️ En cours,⬜ Non exécuté"</formula1>
    </dataValidation>
    <dataValidation sqref="B22" showDropDown="0" showInputMessage="0" showErrorMessage="0" allowBlank="1" type="list">
      <formula1>"P1 — Critique,P2 — Haute,P3 — Moyenne,P4 — Basse"</formula1>
    </dataValidation>
    <dataValidation sqref="P22" showDropDown="0" showInputMessage="0" showErrorMessage="0" allowBlank="1" type="list">
      <formula1>"Production,Preprod,Local"</formula1>
    </dataValidation>
    <dataValidation sqref="I23" showDropDown="0" showInputMessage="0" showErrorMessage="0" allowBlank="1" type="list">
      <formula1>"✅ Passé,❌ Échoué,⚠️ Bloqué,▶️ En cours,⬜ Non exécuté"</formula1>
    </dataValidation>
    <dataValidation sqref="B23" showDropDown="0" showInputMessage="0" showErrorMessage="0" allowBlank="1" type="list">
      <formula1>"P1 — Critique,P2 — Haute,P3 — Moyenne,P4 — Basse"</formula1>
    </dataValidation>
    <dataValidation sqref="P23" showDropDown="0" showInputMessage="0" showErrorMessage="0" allowBlank="1" type="list">
      <formula1>"Production,Preprod,Local"</formula1>
    </dataValidation>
    <dataValidation sqref="I24" showDropDown="0" showInputMessage="0" showErrorMessage="0" allowBlank="1" type="list">
      <formula1>"✅ Passé,❌ Échoué,⚠️ Bloqué,▶️ En cours,⬜ Non exécuté"</formula1>
    </dataValidation>
    <dataValidation sqref="B24" showDropDown="0" showInputMessage="0" showErrorMessage="0" allowBlank="1" type="list">
      <formula1>"P1 — Critique,P2 — Haute,P3 — Moyenne,P4 — Basse"</formula1>
    </dataValidation>
    <dataValidation sqref="P24" showDropDown="0" showInputMessage="0" showErrorMessage="0" allowBlank="1" type="list">
      <formula1>"Production,Preprod,Local"</formula1>
    </dataValidation>
    <dataValidation sqref="I25" showDropDown="0" showInputMessage="0" showErrorMessage="0" allowBlank="1" type="list">
      <formula1>"✅ Passé,❌ Échoué,⚠️ Bloqué,▶️ En cours,⬜ Non exécuté"</formula1>
    </dataValidation>
    <dataValidation sqref="B25" showDropDown="0" showInputMessage="0" showErrorMessage="0" allowBlank="1" type="list">
      <formula1>"P1 — Critique,P2 — Haute,P3 — Moyenne,P4 — Basse"</formula1>
    </dataValidation>
    <dataValidation sqref="P25" showDropDown="0" showInputMessage="0" showErrorMessage="0" allowBlank="1" type="list">
      <formula1>"Production,Preprod,Local"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38" customWidth="1" min="3" max="3"/>
    <col width="32" customWidth="1" min="4" max="4"/>
    <col width="30" customWidth="1" min="5" max="5"/>
    <col width="40" customWidth="1" min="6" max="6"/>
    <col width="38" customWidth="1" min="7" max="7"/>
    <col width="38" customWidth="1" min="8" max="8"/>
    <col width="18" customWidth="1" min="9" max="9"/>
    <col width="16" customWidth="1" min="10" max="10"/>
    <col width="13" customWidth="1" min="11" max="11"/>
    <col width="12" customWidth="1" min="12" max="12"/>
    <col width="24" customWidth="1" min="13" max="13"/>
    <col width="36" customWidth="1" min="14" max="14"/>
    <col width="10" customWidth="1" min="15" max="15"/>
    <col width="12" customWidth="1" min="16" max="16"/>
  </cols>
  <sheetData>
    <row r="1" ht="26" customHeight="1">
      <c r="A1" s="48" t="inlineStr">
        <is>
          <t xml:space="preserve">  GESTION DES EMPLOYÉS  ·  18 scénarios</t>
        </is>
      </c>
    </row>
    <row r="2" ht="22" customHeight="1">
      <c r="A2" s="39" t="inlineStr">
        <is>
          <t>ID Test</t>
        </is>
      </c>
      <c r="B2" s="39" t="inlineStr">
        <is>
          <t>Priorité</t>
        </is>
      </c>
      <c r="C2" s="39" t="inlineStr">
        <is>
          <t>Titre du scénario</t>
        </is>
      </c>
      <c r="D2" s="39" t="inlineStr">
        <is>
          <t>Description / Contexte</t>
        </is>
      </c>
      <c r="E2" s="39" t="inlineStr">
        <is>
          <t>Prérequis / Données</t>
        </is>
      </c>
      <c r="F2" s="39" t="inlineStr">
        <is>
          <t>Étapes détaillées</t>
        </is>
      </c>
      <c r="G2" s="39" t="inlineStr">
        <is>
          <t>Résultat attendu</t>
        </is>
      </c>
      <c r="H2" s="39" t="inlineStr">
        <is>
          <t>Résultat obtenu</t>
        </is>
      </c>
      <c r="I2" s="39" t="inlineStr">
        <is>
          <t>Statut</t>
        </is>
      </c>
      <c r="J2" s="39" t="inlineStr">
        <is>
          <t>Testeur</t>
        </is>
      </c>
      <c r="K2" s="39" t="inlineStr">
        <is>
          <t>Date test</t>
        </is>
      </c>
      <c r="L2" s="39" t="inlineStr">
        <is>
          <t>Durée (min)</t>
        </is>
      </c>
      <c r="M2" s="39" t="inlineStr">
        <is>
          <t>Ticket / Requalification</t>
        </is>
      </c>
      <c r="N2" s="39" t="inlineStr">
        <is>
          <t>Commentaire / Amélioration</t>
        </is>
      </c>
      <c r="O2" s="39" t="inlineStr">
        <is>
          <t>Sprint</t>
        </is>
      </c>
      <c r="P2" s="39" t="inlineStr">
        <is>
          <t>Env.</t>
        </is>
      </c>
    </row>
    <row r="3" ht="58" customHeight="1">
      <c r="A3" s="49" t="inlineStr">
        <is>
          <t>EMP-001</t>
        </is>
      </c>
      <c r="B3" s="40" t="inlineStr">
        <is>
          <t>P1 — Critique</t>
        </is>
      </c>
      <c r="C3" s="41" t="inlineStr">
        <is>
          <t>Création employé — champs obligatoires</t>
        </is>
      </c>
      <c r="D3" s="41" t="inlineStr">
        <is>
          <t>Prénom, nom, email, département, poste, salaire brut FCFA</t>
        </is>
      </c>
      <c r="E3" s="41" t="inlineStr">
        <is>
          <t>Admin connecté, département créé</t>
        </is>
      </c>
      <c r="F3" s="41" t="inlineStr">
        <is>
          <t>1. /employees/new
2. Remplir tous les champs requis
3. Sauvegarder</t>
        </is>
      </c>
      <c r="G3" s="41" t="inlineStr">
        <is>
          <t>Employé créé, visible dans la liste, aucune décimale dans le salaire</t>
        </is>
      </c>
      <c r="H3" s="41" t="inlineStr"/>
      <c r="I3" s="42" t="inlineStr">
        <is>
          <t>⬜ Non exécuté</t>
        </is>
      </c>
      <c r="J3" s="41" t="inlineStr"/>
      <c r="K3" s="41" t="inlineStr"/>
      <c r="L3" s="41" t="inlineStr"/>
      <c r="M3" s="41" t="inlineStr"/>
      <c r="N3" s="41" t="inlineStr"/>
      <c r="O3" s="41" t="inlineStr">
        <is>
          <t>Sprint 1</t>
        </is>
      </c>
      <c r="P3" s="41" t="inlineStr">
        <is>
          <t>Production</t>
        </is>
      </c>
    </row>
    <row r="4" ht="58" customHeight="1">
      <c r="A4" s="49" t="inlineStr">
        <is>
          <t>EMP-002</t>
        </is>
      </c>
      <c r="B4" s="40" t="inlineStr">
        <is>
          <t>P1 — Critique</t>
        </is>
      </c>
      <c r="C4" s="43" t="inlineStr">
        <is>
          <t>Email employé unique dans le tenant</t>
        </is>
      </c>
      <c r="D4" s="43" t="inlineStr"/>
      <c r="E4" s="43" t="inlineStr"/>
      <c r="F4" s="43" t="inlineStr">
        <is>
          <t>1. Créer 2 employés avec le même email</t>
        </is>
      </c>
      <c r="G4" s="43" t="inlineStr">
        <is>
          <t>Erreur 409, message 'Email déjà utilisé dans ce tenant'</t>
        </is>
      </c>
      <c r="H4" s="43" t="inlineStr"/>
      <c r="I4" s="42" t="inlineStr">
        <is>
          <t>⬜ Non exécuté</t>
        </is>
      </c>
      <c r="J4" s="43" t="inlineStr"/>
      <c r="K4" s="43" t="inlineStr"/>
      <c r="L4" s="43" t="inlineStr"/>
      <c r="M4" s="43" t="inlineStr"/>
      <c r="N4" s="43" t="inlineStr"/>
      <c r="O4" s="43" t="inlineStr">
        <is>
          <t>Sprint 1</t>
        </is>
      </c>
      <c r="P4" s="43" t="inlineStr">
        <is>
          <t>Production</t>
        </is>
      </c>
    </row>
    <row r="5" ht="58" customHeight="1">
      <c r="A5" s="49" t="inlineStr">
        <is>
          <t>EMP-003</t>
        </is>
      </c>
      <c r="B5" s="44" t="inlineStr">
        <is>
          <t>P2 — Haute</t>
        </is>
      </c>
      <c r="C5" s="41" t="inlineStr">
        <is>
          <t>Validation NNI — format ivoirien</t>
        </is>
      </c>
      <c r="D5" s="41" t="inlineStr">
        <is>
          <t>Format CI + 9 chiffres</t>
        </is>
      </c>
      <c r="E5" s="41" t="inlineStr"/>
      <c r="F5" s="41" t="inlineStr">
        <is>
          <t>1. Saisir NNI 'CI123456789'
2. Saisir NNI invalide 'AB12'</t>
        </is>
      </c>
      <c r="G5" s="41" t="inlineStr">
        <is>
          <t>NNI valide accepté, NNI invalide rejeté avec message d'erreur</t>
        </is>
      </c>
      <c r="H5" s="41" t="inlineStr"/>
      <c r="I5" s="42" t="inlineStr">
        <is>
          <t>⬜ Non exécuté</t>
        </is>
      </c>
      <c r="J5" s="41" t="inlineStr"/>
      <c r="K5" s="41" t="inlineStr"/>
      <c r="L5" s="41" t="inlineStr"/>
      <c r="M5" s="41" t="inlineStr"/>
      <c r="N5" s="41" t="inlineStr"/>
      <c r="O5" s="41" t="inlineStr">
        <is>
          <t>Sprint 1</t>
        </is>
      </c>
      <c r="P5" s="41" t="inlineStr">
        <is>
          <t>Production</t>
        </is>
      </c>
    </row>
    <row r="6" ht="58" customHeight="1">
      <c r="A6" s="49" t="inlineStr">
        <is>
          <t>EMP-004</t>
        </is>
      </c>
      <c r="B6" s="44" t="inlineStr">
        <is>
          <t>P2 — Haute</t>
        </is>
      </c>
      <c r="C6" s="43" t="inlineStr">
        <is>
          <t>Validation CNPS — format CI</t>
        </is>
      </c>
      <c r="D6" s="43" t="inlineStr">
        <is>
          <t>Format CI + 8 chiffres + lettre</t>
        </is>
      </c>
      <c r="E6" s="43" t="inlineStr"/>
      <c r="F6" s="43" t="inlineStr">
        <is>
          <t>1. Saisir CI12345678A (valide)
2. Saisir 12345 (invalide)</t>
        </is>
      </c>
      <c r="G6" s="43" t="inlineStr">
        <is>
          <t>Valide accepté, invalide rejeté</t>
        </is>
      </c>
      <c r="H6" s="43" t="inlineStr"/>
      <c r="I6" s="42" t="inlineStr">
        <is>
          <t>⬜ Non exécuté</t>
        </is>
      </c>
      <c r="J6" s="43" t="inlineStr"/>
      <c r="K6" s="43" t="inlineStr"/>
      <c r="L6" s="43" t="inlineStr"/>
      <c r="M6" s="43" t="inlineStr"/>
      <c r="N6" s="43" t="inlineStr"/>
      <c r="O6" s="43" t="inlineStr">
        <is>
          <t>Sprint 1</t>
        </is>
      </c>
      <c r="P6" s="43" t="inlineStr">
        <is>
          <t>Production</t>
        </is>
      </c>
    </row>
    <row r="7" ht="58" customHeight="1">
      <c r="A7" s="49" t="inlineStr">
        <is>
          <t>EMP-005</t>
        </is>
      </c>
      <c r="B7" s="44" t="inlineStr">
        <is>
          <t>P2 — Haute</t>
        </is>
      </c>
      <c r="C7" s="41" t="inlineStr">
        <is>
          <t>Validation téléphone Mobile Money CI</t>
        </is>
      </c>
      <c r="D7" s="41" t="inlineStr">
        <is>
          <t>+225 07/05 + 8 chiffres</t>
        </is>
      </c>
      <c r="E7" s="41" t="inlineStr"/>
      <c r="F7" s="41" t="inlineStr">
        <is>
          <t>1. Saisir +225 07 12 34 56 78 (valide)
2. Saisir +33 6 12 (invalide)</t>
        </is>
      </c>
      <c r="G7" s="41" t="inlineStr">
        <is>
          <t>Format CI accepté, autre rejeté</t>
        </is>
      </c>
      <c r="H7" s="41" t="inlineStr"/>
      <c r="I7" s="42" t="inlineStr">
        <is>
          <t>⬜ Non exécuté</t>
        </is>
      </c>
      <c r="J7" s="41" t="inlineStr"/>
      <c r="K7" s="41" t="inlineStr"/>
      <c r="L7" s="41" t="inlineStr"/>
      <c r="M7" s="41" t="inlineStr"/>
      <c r="N7" s="41" t="inlineStr"/>
      <c r="O7" s="41" t="inlineStr">
        <is>
          <t>Sprint 1</t>
        </is>
      </c>
      <c r="P7" s="41" t="inlineStr">
        <is>
          <t>Production</t>
        </is>
      </c>
    </row>
    <row r="8" ht="58" customHeight="1">
      <c r="A8" s="49" t="inlineStr">
        <is>
          <t>EMP-006</t>
        </is>
      </c>
      <c r="B8" s="40" t="inlineStr">
        <is>
          <t>P1 — Critique</t>
        </is>
      </c>
      <c r="C8" s="43" t="inlineStr">
        <is>
          <t>Liste employés — pagination</t>
        </is>
      </c>
      <c r="D8" s="43" t="inlineStr">
        <is>
          <t>Affichage par page avec navigation</t>
        </is>
      </c>
      <c r="E8" s="43" t="inlineStr">
        <is>
          <t>80+ employés SOTRA</t>
        </is>
      </c>
      <c r="F8" s="43" t="inlineStr">
        <is>
          <t>1. Accéder /employees</t>
        </is>
      </c>
      <c r="G8" s="43" t="inlineStr">
        <is>
          <t>Pagination fonctionnelle, 20-50 par page, nombre total affiché</t>
        </is>
      </c>
      <c r="H8" s="43" t="inlineStr"/>
      <c r="I8" s="42" t="inlineStr">
        <is>
          <t>⬜ Non exécuté</t>
        </is>
      </c>
      <c r="J8" s="43" t="inlineStr"/>
      <c r="K8" s="43" t="inlineStr"/>
      <c r="L8" s="43" t="inlineStr"/>
      <c r="M8" s="43" t="inlineStr"/>
      <c r="N8" s="43" t="inlineStr"/>
      <c r="O8" s="43" t="inlineStr">
        <is>
          <t>Sprint 1</t>
        </is>
      </c>
      <c r="P8" s="43" t="inlineStr">
        <is>
          <t>Production</t>
        </is>
      </c>
    </row>
    <row r="9" ht="58" customHeight="1">
      <c r="A9" s="49" t="inlineStr">
        <is>
          <t>EMP-007</t>
        </is>
      </c>
      <c r="B9" s="40" t="inlineStr">
        <is>
          <t>P1 — Critique</t>
        </is>
      </c>
      <c r="C9" s="41" t="inlineStr">
        <is>
          <t>Recherche employé par nom</t>
        </is>
      </c>
      <c r="D9" s="41" t="inlineStr">
        <is>
          <t>Champ de recherche filtrant en temps réel</t>
        </is>
      </c>
      <c r="E9" s="41" t="inlineStr"/>
      <c r="F9" s="41" t="inlineStr">
        <is>
          <t>1. Taper 'Kouassi' dans la recherche</t>
        </is>
      </c>
      <c r="G9" s="41" t="inlineStr">
        <is>
          <t>Liste filtrée aux employés correspondants</t>
        </is>
      </c>
      <c r="H9" s="41" t="inlineStr"/>
      <c r="I9" s="42" t="inlineStr">
        <is>
          <t>⬜ Non exécuté</t>
        </is>
      </c>
      <c r="J9" s="41" t="inlineStr"/>
      <c r="K9" s="41" t="inlineStr"/>
      <c r="L9" s="41" t="inlineStr"/>
      <c r="M9" s="41" t="inlineStr"/>
      <c r="N9" s="41" t="inlineStr"/>
      <c r="O9" s="41" t="inlineStr">
        <is>
          <t>Sprint 1</t>
        </is>
      </c>
      <c r="P9" s="41" t="inlineStr">
        <is>
          <t>Production</t>
        </is>
      </c>
    </row>
    <row r="10" ht="58" customHeight="1">
      <c r="A10" s="49" t="inlineStr">
        <is>
          <t>EMP-008</t>
        </is>
      </c>
      <c r="B10" s="44" t="inlineStr">
        <is>
          <t>P2 — Haute</t>
        </is>
      </c>
      <c r="C10" s="43" t="inlineStr">
        <is>
          <t>Filtrage par département</t>
        </is>
      </c>
      <c r="D10" s="43" t="inlineStr">
        <is>
          <t>Sélecteur département</t>
        </is>
      </c>
      <c r="E10" s="43" t="inlineStr"/>
      <c r="F10" s="43" t="inlineStr">
        <is>
          <t>1. Sélectionner département 'Exploitation'
2. Observer la liste</t>
        </is>
      </c>
      <c r="G10" s="43" t="inlineStr">
        <is>
          <t>Seuls les employés du département Exploitation affichés</t>
        </is>
      </c>
      <c r="H10" s="43" t="inlineStr"/>
      <c r="I10" s="42" t="inlineStr">
        <is>
          <t>⬜ Non exécuté</t>
        </is>
      </c>
      <c r="J10" s="43" t="inlineStr"/>
      <c r="K10" s="43" t="inlineStr"/>
      <c r="L10" s="43" t="inlineStr"/>
      <c r="M10" s="43" t="inlineStr"/>
      <c r="N10" s="43" t="inlineStr"/>
      <c r="O10" s="43" t="inlineStr">
        <is>
          <t>Sprint 1</t>
        </is>
      </c>
      <c r="P10" s="43" t="inlineStr">
        <is>
          <t>Production</t>
        </is>
      </c>
    </row>
    <row r="11" ht="58" customHeight="1">
      <c r="A11" s="49" t="inlineStr">
        <is>
          <t>EMP-009</t>
        </is>
      </c>
      <c r="B11" s="40" t="inlineStr">
        <is>
          <t>P1 — Critique</t>
        </is>
      </c>
      <c r="C11" s="41" t="inlineStr">
        <is>
          <t>Fiche employé — consultation</t>
        </is>
      </c>
      <c r="D11" s="41" t="inlineStr">
        <is>
          <t>Tous les champs visibles</t>
        </is>
      </c>
      <c r="E11" s="41" t="inlineStr"/>
      <c r="F11" s="41" t="inlineStr">
        <is>
          <t>1. Cliquer sur un employé dans la liste</t>
        </is>
      </c>
      <c r="G11" s="41" t="inlineStr">
        <is>
          <t>Fiche complète: identité, poste, salaire FCFA, NNI, CNPS, Mobile Money, ancienneté calculée</t>
        </is>
      </c>
      <c r="H11" s="41" t="inlineStr"/>
      <c r="I11" s="42" t="inlineStr">
        <is>
          <t>⬜ Non exécuté</t>
        </is>
      </c>
      <c r="J11" s="41" t="inlineStr"/>
      <c r="K11" s="41" t="inlineStr"/>
      <c r="L11" s="41" t="inlineStr"/>
      <c r="M11" s="41" t="inlineStr"/>
      <c r="N11" s="41" t="inlineStr"/>
      <c r="O11" s="41" t="inlineStr">
        <is>
          <t>Sprint 1</t>
        </is>
      </c>
      <c r="P11" s="41" t="inlineStr">
        <is>
          <t>Production</t>
        </is>
      </c>
    </row>
    <row r="12" ht="58" customHeight="1">
      <c r="A12" s="49" t="inlineStr">
        <is>
          <t>EMP-010</t>
        </is>
      </c>
      <c r="B12" s="40" t="inlineStr">
        <is>
          <t>P1 — Critique</t>
        </is>
      </c>
      <c r="C12" s="43" t="inlineStr">
        <is>
          <t>Modification employé</t>
        </is>
      </c>
      <c r="D12" s="43" t="inlineStr">
        <is>
          <t>Mise à jour des données</t>
        </is>
      </c>
      <c r="E12" s="43" t="inlineStr"/>
      <c r="F12" s="43" t="inlineStr">
        <is>
          <t>1. Ouvrir fiche
2. Modifier salaire
3. Sauvegarder</t>
        </is>
      </c>
      <c r="G12" s="43" t="inlineStr">
        <is>
          <t>Données mises à jour, historique hr_events enregistré</t>
        </is>
      </c>
      <c r="H12" s="43" t="inlineStr"/>
      <c r="I12" s="42" t="inlineStr">
        <is>
          <t>⬜ Non exécuté</t>
        </is>
      </c>
      <c r="J12" s="43" t="inlineStr"/>
      <c r="K12" s="43" t="inlineStr"/>
      <c r="L12" s="43" t="inlineStr"/>
      <c r="M12" s="43" t="inlineStr"/>
      <c r="N12" s="43" t="inlineStr"/>
      <c r="O12" s="43" t="inlineStr">
        <is>
          <t>Sprint 1</t>
        </is>
      </c>
      <c r="P12" s="43" t="inlineStr">
        <is>
          <t>Production</t>
        </is>
      </c>
    </row>
    <row r="13" ht="58" customHeight="1">
      <c r="A13" s="49" t="inlineStr">
        <is>
          <t>EMP-011</t>
        </is>
      </c>
      <c r="B13" s="44" t="inlineStr">
        <is>
          <t>P2 — Haute</t>
        </is>
      </c>
      <c r="C13" s="41" t="inlineStr">
        <is>
          <t>Désactivation employé</t>
        </is>
      </c>
      <c r="D13" s="41" t="inlineStr">
        <is>
          <t>is_active = false, employé absent des listings actifs</t>
        </is>
      </c>
      <c r="E13" s="41" t="inlineStr"/>
      <c r="F13" s="41" t="inlineStr">
        <is>
          <t>1. Fiche employé → Désactiver</t>
        </is>
      </c>
      <c r="G13" s="41" t="inlineStr">
        <is>
          <t>Employé marqué inactif, n'apparaît plus dans liste active</t>
        </is>
      </c>
      <c r="H13" s="41" t="inlineStr"/>
      <c r="I13" s="42" t="inlineStr">
        <is>
          <t>⬜ Non exécuté</t>
        </is>
      </c>
      <c r="J13" s="41" t="inlineStr"/>
      <c r="K13" s="41" t="inlineStr"/>
      <c r="L13" s="41" t="inlineStr"/>
      <c r="M13" s="41" t="inlineStr"/>
      <c r="N13" s="41" t="inlineStr"/>
      <c r="O13" s="41" t="inlineStr">
        <is>
          <t>Sprint 1</t>
        </is>
      </c>
      <c r="P13" s="41" t="inlineStr">
        <is>
          <t>Production</t>
        </is>
      </c>
    </row>
    <row r="14" ht="58" customHeight="1">
      <c r="A14" s="49" t="inlineStr">
        <is>
          <t>EMP-012</t>
        </is>
      </c>
      <c r="B14" s="44" t="inlineStr">
        <is>
          <t>P2 — Haute</t>
        </is>
      </c>
      <c r="C14" s="43" t="inlineStr">
        <is>
          <t>Calcul ancienneté affiché</t>
        </is>
      </c>
      <c r="D14" s="43" t="inlineStr">
        <is>
          <t>Années et mois depuis hire_date</t>
        </is>
      </c>
      <c r="E14" s="43" t="inlineStr"/>
      <c r="F14" s="43" t="inlineStr">
        <is>
          <t>1. Ouvrir fiche employé embauché il y a 3 ans 2 mois</t>
        </is>
      </c>
      <c r="G14" s="43" t="inlineStr">
        <is>
          <t>Affiche '3 ans 2 mois' correctement</t>
        </is>
      </c>
      <c r="H14" s="43" t="inlineStr"/>
      <c r="I14" s="42" t="inlineStr">
        <is>
          <t>⬜ Non exécuté</t>
        </is>
      </c>
      <c r="J14" s="43" t="inlineStr"/>
      <c r="K14" s="43" t="inlineStr"/>
      <c r="L14" s="43" t="inlineStr"/>
      <c r="M14" s="43" t="inlineStr"/>
      <c r="N14" s="43" t="inlineStr"/>
      <c r="O14" s="43" t="inlineStr">
        <is>
          <t>Sprint 1</t>
        </is>
      </c>
      <c r="P14" s="43" t="inlineStr">
        <is>
          <t>Production</t>
        </is>
      </c>
    </row>
    <row r="15" ht="58" customHeight="1">
      <c r="A15" s="49" t="inlineStr">
        <is>
          <t>EMP-013</t>
        </is>
      </c>
      <c r="B15" s="45" t="inlineStr">
        <is>
          <t>P3 — Moyenne</t>
        </is>
      </c>
      <c r="C15" s="41" t="inlineStr">
        <is>
          <t>Import CSV employés</t>
        </is>
      </c>
      <c r="D15" s="41" t="inlineStr">
        <is>
          <t>Upload d'un fichier CSV pour création en masse</t>
        </is>
      </c>
      <c r="E15" s="41" t="inlineStr">
        <is>
          <t>Fichier CSV valide préparé</t>
        </is>
      </c>
      <c r="F15" s="41" t="inlineStr">
        <is>
          <t>1. /employees/import
2. Uploader CSV
3. Valider</t>
        </is>
      </c>
      <c r="G15" s="41" t="inlineStr">
        <is>
          <t>Employés créés en masse, rapport d'import (succès/erreurs)</t>
        </is>
      </c>
      <c r="H15" s="41" t="inlineStr"/>
      <c r="I15" s="42" t="inlineStr">
        <is>
          <t>⬜ Non exécuté</t>
        </is>
      </c>
      <c r="J15" s="41" t="inlineStr"/>
      <c r="K15" s="41" t="inlineStr"/>
      <c r="L15" s="41" t="inlineStr"/>
      <c r="M15" s="41" t="inlineStr"/>
      <c r="N15" s="41" t="inlineStr"/>
      <c r="O15" s="41" t="inlineStr">
        <is>
          <t>Sprint 1</t>
        </is>
      </c>
      <c r="P15" s="41" t="inlineStr">
        <is>
          <t>Production</t>
        </is>
      </c>
    </row>
    <row r="16" ht="58" customHeight="1">
      <c r="A16" s="49" t="inlineStr">
        <is>
          <t>EMP-014</t>
        </is>
      </c>
      <c r="B16" s="45" t="inlineStr">
        <is>
          <t>P3 — Moyenne</t>
        </is>
      </c>
      <c r="C16" s="43" t="inlineStr">
        <is>
          <t>Export liste employés</t>
        </is>
      </c>
      <c r="D16" s="43" t="inlineStr">
        <is>
          <t>Téléchargement CSV/Excel</t>
        </is>
      </c>
      <c r="E16" s="43" t="inlineStr"/>
      <c r="F16" s="43" t="inlineStr">
        <is>
          <t>1. Bouton Export dans la liste
2. Choisir format</t>
        </is>
      </c>
      <c r="G16" s="43" t="inlineStr">
        <is>
          <t>Fichier téléchargé avec tous les champs, encodage UTF-8, FCFA entiers</t>
        </is>
      </c>
      <c r="H16" s="43" t="inlineStr"/>
      <c r="I16" s="42" t="inlineStr">
        <is>
          <t>⬜ Non exécuté</t>
        </is>
      </c>
      <c r="J16" s="43" t="inlineStr"/>
      <c r="K16" s="43" t="inlineStr"/>
      <c r="L16" s="43" t="inlineStr"/>
      <c r="M16" s="43" t="inlineStr"/>
      <c r="N16" s="43" t="inlineStr"/>
      <c r="O16" s="43" t="inlineStr">
        <is>
          <t>Sprint 1</t>
        </is>
      </c>
      <c r="P16" s="43" t="inlineStr">
        <is>
          <t>Production</t>
        </is>
      </c>
    </row>
    <row r="17" ht="58" customHeight="1">
      <c r="A17" s="49" t="inlineStr">
        <is>
          <t>EMP-015</t>
        </is>
      </c>
      <c r="B17" s="45" t="inlineStr">
        <is>
          <t>P3 — Moyenne</t>
        </is>
      </c>
      <c r="C17" s="41" t="inlineStr">
        <is>
          <t>Upload photo profil</t>
        </is>
      </c>
      <c r="D17" s="41" t="inlineStr">
        <is>
          <t>Image recadrée et sauvegardée</t>
        </is>
      </c>
      <c r="E17" s="41" t="inlineStr"/>
      <c r="F17" s="41" t="inlineStr">
        <is>
          <t>1. Fiche employé → Photo
2. Uploader une image
3. Recadrer
4. Sauvegarder</t>
        </is>
      </c>
      <c r="G17" s="41" t="inlineStr">
        <is>
          <t>Photo visible dans la fiche et dans le header</t>
        </is>
      </c>
      <c r="H17" s="41" t="inlineStr"/>
      <c r="I17" s="42" t="inlineStr">
        <is>
          <t>⬜ Non exécuté</t>
        </is>
      </c>
      <c r="J17" s="41" t="inlineStr"/>
      <c r="K17" s="41" t="inlineStr"/>
      <c r="L17" s="41" t="inlineStr"/>
      <c r="M17" s="41" t="inlineStr"/>
      <c r="N17" s="41" t="inlineStr"/>
      <c r="O17" s="41" t="inlineStr">
        <is>
          <t>Sprint 1</t>
        </is>
      </c>
      <c r="P17" s="41" t="inlineStr">
        <is>
          <t>Production</t>
        </is>
      </c>
    </row>
    <row r="18" ht="58" customHeight="1">
      <c r="A18" s="49" t="inlineStr">
        <is>
          <t>EMP-016</t>
        </is>
      </c>
      <c r="B18" s="40" t="inlineStr">
        <is>
          <t>P1 — Critique</t>
        </is>
      </c>
      <c r="C18" s="43" t="inlineStr">
        <is>
          <t>Manager ne voit que son équipe</t>
        </is>
      </c>
      <c r="D18" s="43" t="inlineStr">
        <is>
          <t>Filtrage automatique par department_id du manager</t>
        </is>
      </c>
      <c r="E18" s="43" t="inlineStr">
        <is>
          <t>manager@sotra.ci lié à département Exploitation</t>
        </is>
      </c>
      <c r="F18" s="43" t="inlineStr">
        <is>
          <t>1. Connecter manager@sotra.ci
2. Accéder /employees</t>
        </is>
      </c>
      <c r="G18" s="43" t="inlineStr">
        <is>
          <t>Seuls les employés de son département listés</t>
        </is>
      </c>
      <c r="H18" s="43" t="inlineStr"/>
      <c r="I18" s="42" t="inlineStr">
        <is>
          <t>⬜ Non exécuté</t>
        </is>
      </c>
      <c r="J18" s="43" t="inlineStr"/>
      <c r="K18" s="43" t="inlineStr"/>
      <c r="L18" s="43" t="inlineStr"/>
      <c r="M18" s="43" t="inlineStr"/>
      <c r="N18" s="43" t="inlineStr"/>
      <c r="O18" s="43" t="inlineStr">
        <is>
          <t>Sprint 1</t>
        </is>
      </c>
      <c r="P18" s="43" t="inlineStr">
        <is>
          <t>Production</t>
        </is>
      </c>
    </row>
    <row r="19" ht="58" customHeight="1">
      <c r="A19" s="49" t="inlineStr">
        <is>
          <t>EMP-017</t>
        </is>
      </c>
      <c r="B19" s="40" t="inlineStr">
        <is>
          <t>P1 — Critique</t>
        </is>
      </c>
      <c r="C19" s="41" t="inlineStr">
        <is>
          <t>Employee ne peut pas accéder /employees</t>
        </is>
      </c>
      <c r="D19" s="41" t="inlineStr">
        <is>
          <t>Redirection /mon-espace</t>
        </is>
      </c>
      <c r="E19" s="41" t="inlineStr"/>
      <c r="F19" s="41" t="inlineStr">
        <is>
          <t>1. Connecter employe@sotra.ci
2. Tenter /employees</t>
        </is>
      </c>
      <c r="G19" s="41" t="inlineStr">
        <is>
          <t>Redirection automatique vers /mon-espace</t>
        </is>
      </c>
      <c r="H19" s="41" t="inlineStr"/>
      <c r="I19" s="42" t="inlineStr">
        <is>
          <t>⬜ Non exécuté</t>
        </is>
      </c>
      <c r="J19" s="41" t="inlineStr"/>
      <c r="K19" s="41" t="inlineStr"/>
      <c r="L19" s="41" t="inlineStr"/>
      <c r="M19" s="41" t="inlineStr"/>
      <c r="N19" s="41" t="inlineStr"/>
      <c r="O19" s="41" t="inlineStr">
        <is>
          <t>Sprint 1</t>
        </is>
      </c>
      <c r="P19" s="41" t="inlineStr">
        <is>
          <t>Production</t>
        </is>
      </c>
    </row>
    <row r="20" ht="58" customHeight="1">
      <c r="A20" s="49" t="inlineStr">
        <is>
          <t>EMP-018</t>
        </is>
      </c>
      <c r="B20" s="44" t="inlineStr">
        <is>
          <t>P2 — Haute</t>
        </is>
      </c>
      <c r="C20" s="43" t="inlineStr">
        <is>
          <t>Mobile Money affiché sur fiche</t>
        </is>
      </c>
      <c r="D20" s="43" t="inlineStr">
        <is>
          <t>Provider + numéro formaté</t>
        </is>
      </c>
      <c r="E20" s="43" t="inlineStr"/>
      <c r="F20" s="43" t="inlineStr">
        <is>
          <t>1. Ouvrir fiche d'un employé avec Wave enregistré</t>
        </is>
      </c>
      <c r="G20" s="43" t="inlineStr">
        <is>
          <t>Affiche 'Wave — +225 07 XX XX XX XX'</t>
        </is>
      </c>
      <c r="H20" s="43" t="inlineStr"/>
      <c r="I20" s="42" t="inlineStr">
        <is>
          <t>⬜ Non exécuté</t>
        </is>
      </c>
      <c r="J20" s="43" t="inlineStr"/>
      <c r="K20" s="43" t="inlineStr"/>
      <c r="L20" s="43" t="inlineStr"/>
      <c r="M20" s="43" t="inlineStr"/>
      <c r="N20" s="43" t="inlineStr"/>
      <c r="O20" s="43" t="inlineStr">
        <is>
          <t>Sprint 1</t>
        </is>
      </c>
      <c r="P20" s="43" t="inlineStr">
        <is>
          <t>Production</t>
        </is>
      </c>
    </row>
  </sheetData>
  <mergeCells count="1">
    <mergeCell ref="A1:P1"/>
  </mergeCells>
  <conditionalFormatting sqref="A3:P20">
    <cfRule type="expression" priority="1" dxfId="0">
      <formula>$I3="✅ Passé"</formula>
    </cfRule>
    <cfRule type="expression" priority="2" dxfId="1">
      <formula>$I3="❌ Échoué"</formula>
    </cfRule>
    <cfRule type="expression" priority="3" dxfId="2">
      <formula>$I3="⚠️ Bloqué"</formula>
    </cfRule>
    <cfRule type="expression" priority="4" dxfId="3">
      <formula>$I3="▶️ En cours"</formula>
    </cfRule>
    <cfRule type="expression" priority="5" dxfId="4">
      <formula>$I3="⬜ Non exécuté"</formula>
    </cfRule>
  </conditionalFormatting>
  <dataValidations count="54">
    <dataValidation sqref="I3" showDropDown="0" showInputMessage="0" showErrorMessage="0" allowBlank="1" type="list">
      <formula1>"✅ Passé,❌ Échoué,⚠️ Bloqué,▶️ En cours,⬜ Non exécuté"</formula1>
    </dataValidation>
    <dataValidation sqref="B3" showDropDown="0" showInputMessage="0" showErrorMessage="0" allowBlank="1" type="list">
      <formula1>"P1 — Critique,P2 — Haute,P3 — Moyenne,P4 — Basse"</formula1>
    </dataValidation>
    <dataValidation sqref="P3" showDropDown="0" showInputMessage="0" showErrorMessage="0" allowBlank="1" type="list">
      <formula1>"Production,Preprod,Local"</formula1>
    </dataValidation>
    <dataValidation sqref="I4" showDropDown="0" showInputMessage="0" showErrorMessage="0" allowBlank="1" type="list">
      <formula1>"✅ Passé,❌ Échoué,⚠️ Bloqué,▶️ En cours,⬜ Non exécuté"</formula1>
    </dataValidation>
    <dataValidation sqref="B4" showDropDown="0" showInputMessage="0" showErrorMessage="0" allowBlank="1" type="list">
      <formula1>"P1 — Critique,P2 — Haute,P3 — Moyenne,P4 — Basse"</formula1>
    </dataValidation>
    <dataValidation sqref="P4" showDropDown="0" showInputMessage="0" showErrorMessage="0" allowBlank="1" type="list">
      <formula1>"Production,Preprod,Local"</formula1>
    </dataValidation>
    <dataValidation sqref="I5" showDropDown="0" showInputMessage="0" showErrorMessage="0" allowBlank="1" type="list">
      <formula1>"✅ Passé,❌ Échoué,⚠️ Bloqué,▶️ En cours,⬜ Non exécuté"</formula1>
    </dataValidation>
    <dataValidation sqref="B5" showDropDown="0" showInputMessage="0" showErrorMessage="0" allowBlank="1" type="list">
      <formula1>"P1 — Critique,P2 — Haute,P3 — Moyenne,P4 — Basse"</formula1>
    </dataValidation>
    <dataValidation sqref="P5" showDropDown="0" showInputMessage="0" showErrorMessage="0" allowBlank="1" type="list">
      <formula1>"Production,Preprod,Local"</formula1>
    </dataValidation>
    <dataValidation sqref="I6" showDropDown="0" showInputMessage="0" showErrorMessage="0" allowBlank="1" type="list">
      <formula1>"✅ Passé,❌ Échoué,⚠️ Bloqué,▶️ En cours,⬜ Non exécuté"</formula1>
    </dataValidation>
    <dataValidation sqref="B6" showDropDown="0" showInputMessage="0" showErrorMessage="0" allowBlank="1" type="list">
      <formula1>"P1 — Critique,P2 — Haute,P3 — Moyenne,P4 — Basse"</formula1>
    </dataValidation>
    <dataValidation sqref="P6" showDropDown="0" showInputMessage="0" showErrorMessage="0" allowBlank="1" type="list">
      <formula1>"Production,Preprod,Local"</formula1>
    </dataValidation>
    <dataValidation sqref="I7" showDropDown="0" showInputMessage="0" showErrorMessage="0" allowBlank="1" type="list">
      <formula1>"✅ Passé,❌ Échoué,⚠️ Bloqué,▶️ En cours,⬜ Non exécuté"</formula1>
    </dataValidation>
    <dataValidation sqref="B7" showDropDown="0" showInputMessage="0" showErrorMessage="0" allowBlank="1" type="list">
      <formula1>"P1 — Critique,P2 — Haute,P3 — Moyenne,P4 — Basse"</formula1>
    </dataValidation>
    <dataValidation sqref="P7" showDropDown="0" showInputMessage="0" showErrorMessage="0" allowBlank="1" type="list">
      <formula1>"Production,Preprod,Local"</formula1>
    </dataValidation>
    <dataValidation sqref="I8" showDropDown="0" showInputMessage="0" showErrorMessage="0" allowBlank="1" type="list">
      <formula1>"✅ Passé,❌ Échoué,⚠️ Bloqué,▶️ En cours,⬜ Non exécuté"</formula1>
    </dataValidation>
    <dataValidation sqref="B8" showDropDown="0" showInputMessage="0" showErrorMessage="0" allowBlank="1" type="list">
      <formula1>"P1 — Critique,P2 — Haute,P3 — Moyenne,P4 — Basse"</formula1>
    </dataValidation>
    <dataValidation sqref="P8" showDropDown="0" showInputMessage="0" showErrorMessage="0" allowBlank="1" type="list">
      <formula1>"Production,Preprod,Local"</formula1>
    </dataValidation>
    <dataValidation sqref="I9" showDropDown="0" showInputMessage="0" showErrorMessage="0" allowBlank="1" type="list">
      <formula1>"✅ Passé,❌ Échoué,⚠️ Bloqué,▶️ En cours,⬜ Non exécuté"</formula1>
    </dataValidation>
    <dataValidation sqref="B9" showDropDown="0" showInputMessage="0" showErrorMessage="0" allowBlank="1" type="list">
      <formula1>"P1 — Critique,P2 — Haute,P3 — Moyenne,P4 — Basse"</formula1>
    </dataValidation>
    <dataValidation sqref="P9" showDropDown="0" showInputMessage="0" showErrorMessage="0" allowBlank="1" type="list">
      <formula1>"Production,Preprod,Local"</formula1>
    </dataValidation>
    <dataValidation sqref="I10" showDropDown="0" showInputMessage="0" showErrorMessage="0" allowBlank="1" type="list">
      <formula1>"✅ Passé,❌ Échoué,⚠️ Bloqué,▶️ En cours,⬜ Non exécuté"</formula1>
    </dataValidation>
    <dataValidation sqref="B10" showDropDown="0" showInputMessage="0" showErrorMessage="0" allowBlank="1" type="list">
      <formula1>"P1 — Critique,P2 — Haute,P3 — Moyenne,P4 — Basse"</formula1>
    </dataValidation>
    <dataValidation sqref="P10" showDropDown="0" showInputMessage="0" showErrorMessage="0" allowBlank="1" type="list">
      <formula1>"Production,Preprod,Local"</formula1>
    </dataValidation>
    <dataValidation sqref="I11" showDropDown="0" showInputMessage="0" showErrorMessage="0" allowBlank="1" type="list">
      <formula1>"✅ Passé,❌ Échoué,⚠️ Bloqué,▶️ En cours,⬜ Non exécuté"</formula1>
    </dataValidation>
    <dataValidation sqref="B11" showDropDown="0" showInputMessage="0" showErrorMessage="0" allowBlank="1" type="list">
      <formula1>"P1 — Critique,P2 — Haute,P3 — Moyenne,P4 — Basse"</formula1>
    </dataValidation>
    <dataValidation sqref="P11" showDropDown="0" showInputMessage="0" showErrorMessage="0" allowBlank="1" type="list">
      <formula1>"Production,Preprod,Local"</formula1>
    </dataValidation>
    <dataValidation sqref="I12" showDropDown="0" showInputMessage="0" showErrorMessage="0" allowBlank="1" type="list">
      <formula1>"✅ Passé,❌ Échoué,⚠️ Bloqué,▶️ En cours,⬜ Non exécuté"</formula1>
    </dataValidation>
    <dataValidation sqref="B12" showDropDown="0" showInputMessage="0" showErrorMessage="0" allowBlank="1" type="list">
      <formula1>"P1 — Critique,P2 — Haute,P3 — Moyenne,P4 — Basse"</formula1>
    </dataValidation>
    <dataValidation sqref="P12" showDropDown="0" showInputMessage="0" showErrorMessage="0" allowBlank="1" type="list">
      <formula1>"Production,Preprod,Local"</formula1>
    </dataValidation>
    <dataValidation sqref="I13" showDropDown="0" showInputMessage="0" showErrorMessage="0" allowBlank="1" type="list">
      <formula1>"✅ Passé,❌ Échoué,⚠️ Bloqué,▶️ En cours,⬜ Non exécuté"</formula1>
    </dataValidation>
    <dataValidation sqref="B13" showDropDown="0" showInputMessage="0" showErrorMessage="0" allowBlank="1" type="list">
      <formula1>"P1 — Critique,P2 — Haute,P3 — Moyenne,P4 — Basse"</formula1>
    </dataValidation>
    <dataValidation sqref="P13" showDropDown="0" showInputMessage="0" showErrorMessage="0" allowBlank="1" type="list">
      <formula1>"Production,Preprod,Local"</formula1>
    </dataValidation>
    <dataValidation sqref="I14" showDropDown="0" showInputMessage="0" showErrorMessage="0" allowBlank="1" type="list">
      <formula1>"✅ Passé,❌ Échoué,⚠️ Bloqué,▶️ En cours,⬜ Non exécuté"</formula1>
    </dataValidation>
    <dataValidation sqref="B14" showDropDown="0" showInputMessage="0" showErrorMessage="0" allowBlank="1" type="list">
      <formula1>"P1 — Critique,P2 — Haute,P3 — Moyenne,P4 — Basse"</formula1>
    </dataValidation>
    <dataValidation sqref="P14" showDropDown="0" showInputMessage="0" showErrorMessage="0" allowBlank="1" type="list">
      <formula1>"Production,Preprod,Local"</formula1>
    </dataValidation>
    <dataValidation sqref="I15" showDropDown="0" showInputMessage="0" showErrorMessage="0" allowBlank="1" type="list">
      <formula1>"✅ Passé,❌ Échoué,⚠️ Bloqué,▶️ En cours,⬜ Non exécuté"</formula1>
    </dataValidation>
    <dataValidation sqref="B15" showDropDown="0" showInputMessage="0" showErrorMessage="0" allowBlank="1" type="list">
      <formula1>"P1 — Critique,P2 — Haute,P3 — Moyenne,P4 — Basse"</formula1>
    </dataValidation>
    <dataValidation sqref="P15" showDropDown="0" showInputMessage="0" showErrorMessage="0" allowBlank="1" type="list">
      <formula1>"Production,Preprod,Local"</formula1>
    </dataValidation>
    <dataValidation sqref="I16" showDropDown="0" showInputMessage="0" showErrorMessage="0" allowBlank="1" type="list">
      <formula1>"✅ Passé,❌ Échoué,⚠️ Bloqué,▶️ En cours,⬜ Non exécuté"</formula1>
    </dataValidation>
    <dataValidation sqref="B16" showDropDown="0" showInputMessage="0" showErrorMessage="0" allowBlank="1" type="list">
      <formula1>"P1 — Critique,P2 — Haute,P3 — Moyenne,P4 — Basse"</formula1>
    </dataValidation>
    <dataValidation sqref="P16" showDropDown="0" showInputMessage="0" showErrorMessage="0" allowBlank="1" type="list">
      <formula1>"Production,Preprod,Local"</formula1>
    </dataValidation>
    <dataValidation sqref="I17" showDropDown="0" showInputMessage="0" showErrorMessage="0" allowBlank="1" type="list">
      <formula1>"✅ Passé,❌ Échoué,⚠️ Bloqué,▶️ En cours,⬜ Non exécuté"</formula1>
    </dataValidation>
    <dataValidation sqref="B17" showDropDown="0" showInputMessage="0" showErrorMessage="0" allowBlank="1" type="list">
      <formula1>"P1 — Critique,P2 — Haute,P3 — Moyenne,P4 — Basse"</formula1>
    </dataValidation>
    <dataValidation sqref="P17" showDropDown="0" showInputMessage="0" showErrorMessage="0" allowBlank="1" type="list">
      <formula1>"Production,Preprod,Local"</formula1>
    </dataValidation>
    <dataValidation sqref="I18" showDropDown="0" showInputMessage="0" showErrorMessage="0" allowBlank="1" type="list">
      <formula1>"✅ Passé,❌ Échoué,⚠️ Bloqué,▶️ En cours,⬜ Non exécuté"</formula1>
    </dataValidation>
    <dataValidation sqref="B18" showDropDown="0" showInputMessage="0" showErrorMessage="0" allowBlank="1" type="list">
      <formula1>"P1 — Critique,P2 — Haute,P3 — Moyenne,P4 — Basse"</formula1>
    </dataValidation>
    <dataValidation sqref="P18" showDropDown="0" showInputMessage="0" showErrorMessage="0" allowBlank="1" type="list">
      <formula1>"Production,Preprod,Local"</formula1>
    </dataValidation>
    <dataValidation sqref="I19" showDropDown="0" showInputMessage="0" showErrorMessage="0" allowBlank="1" type="list">
      <formula1>"✅ Passé,❌ Échoué,⚠️ Bloqué,▶️ En cours,⬜ Non exécuté"</formula1>
    </dataValidation>
    <dataValidation sqref="B19" showDropDown="0" showInputMessage="0" showErrorMessage="0" allowBlank="1" type="list">
      <formula1>"P1 — Critique,P2 — Haute,P3 — Moyenne,P4 — Basse"</formula1>
    </dataValidation>
    <dataValidation sqref="P19" showDropDown="0" showInputMessage="0" showErrorMessage="0" allowBlank="1" type="list">
      <formula1>"Production,Preprod,Local"</formula1>
    </dataValidation>
    <dataValidation sqref="I20" showDropDown="0" showInputMessage="0" showErrorMessage="0" allowBlank="1" type="list">
      <formula1>"✅ Passé,❌ Échoué,⚠️ Bloqué,▶️ En cours,⬜ Non exécuté"</formula1>
    </dataValidation>
    <dataValidation sqref="B20" showDropDown="0" showInputMessage="0" showErrorMessage="0" allowBlank="1" type="list">
      <formula1>"P1 — Critique,P2 — Haute,P3 — Moyenne,P4 — Basse"</formula1>
    </dataValidation>
    <dataValidation sqref="P20" showDropDown="0" showInputMessage="0" showErrorMessage="0" allowBlank="1" type="list">
      <formula1>"Production,Preprod,Local"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3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38" customWidth="1" min="3" max="3"/>
    <col width="32" customWidth="1" min="4" max="4"/>
    <col width="30" customWidth="1" min="5" max="5"/>
    <col width="40" customWidth="1" min="6" max="6"/>
    <col width="38" customWidth="1" min="7" max="7"/>
    <col width="38" customWidth="1" min="8" max="8"/>
    <col width="18" customWidth="1" min="9" max="9"/>
    <col width="16" customWidth="1" min="10" max="10"/>
    <col width="13" customWidth="1" min="11" max="11"/>
    <col width="12" customWidth="1" min="12" max="12"/>
    <col width="24" customWidth="1" min="13" max="13"/>
    <col width="36" customWidth="1" min="14" max="14"/>
    <col width="10" customWidth="1" min="15" max="15"/>
    <col width="12" customWidth="1" min="16" max="16"/>
  </cols>
  <sheetData>
    <row r="1" ht="26" customHeight="1">
      <c r="A1" s="50" t="inlineStr">
        <is>
          <t xml:space="preserve">  MOTEUR DE PAIE CI (CNPS + ITS)  ·  28 scénarios</t>
        </is>
      </c>
    </row>
    <row r="2" ht="22" customHeight="1">
      <c r="A2" s="39" t="inlineStr">
        <is>
          <t>ID Test</t>
        </is>
      </c>
      <c r="B2" s="39" t="inlineStr">
        <is>
          <t>Priorité</t>
        </is>
      </c>
      <c r="C2" s="39" t="inlineStr">
        <is>
          <t>Titre du scénario</t>
        </is>
      </c>
      <c r="D2" s="39" t="inlineStr">
        <is>
          <t>Description / Contexte</t>
        </is>
      </c>
      <c r="E2" s="39" t="inlineStr">
        <is>
          <t>Prérequis / Données</t>
        </is>
      </c>
      <c r="F2" s="39" t="inlineStr">
        <is>
          <t>Étapes détaillées</t>
        </is>
      </c>
      <c r="G2" s="39" t="inlineStr">
        <is>
          <t>Résultat attendu</t>
        </is>
      </c>
      <c r="H2" s="39" t="inlineStr">
        <is>
          <t>Résultat obtenu</t>
        </is>
      </c>
      <c r="I2" s="39" t="inlineStr">
        <is>
          <t>Statut</t>
        </is>
      </c>
      <c r="J2" s="39" t="inlineStr">
        <is>
          <t>Testeur</t>
        </is>
      </c>
      <c r="K2" s="39" t="inlineStr">
        <is>
          <t>Date test</t>
        </is>
      </c>
      <c r="L2" s="39" t="inlineStr">
        <is>
          <t>Durée (min)</t>
        </is>
      </c>
      <c r="M2" s="39" t="inlineStr">
        <is>
          <t>Ticket / Requalification</t>
        </is>
      </c>
      <c r="N2" s="39" t="inlineStr">
        <is>
          <t>Commentaire / Amélioration</t>
        </is>
      </c>
      <c r="O2" s="39" t="inlineStr">
        <is>
          <t>Sprint</t>
        </is>
      </c>
      <c r="P2" s="39" t="inlineStr">
        <is>
          <t>Env.</t>
        </is>
      </c>
    </row>
    <row r="3" ht="58" customHeight="1">
      <c r="A3" s="51" t="inlineStr">
        <is>
          <t>PAY-001</t>
        </is>
      </c>
      <c r="B3" s="40" t="inlineStr">
        <is>
          <t>P1 — Critique</t>
        </is>
      </c>
      <c r="C3" s="41" t="inlineStr">
        <is>
          <t>CNPS Retraite salarié 6.3% — plafond 1 647 315 FCFA</t>
        </is>
      </c>
      <c r="D3" s="41" t="inlineStr">
        <is>
          <t>Vérifier le calcul exact pour un salaire de 200 000 FCFA</t>
        </is>
      </c>
      <c r="E3" s="41" t="inlineStr">
        <is>
          <t>Moteur CI déployé</t>
        </is>
      </c>
      <c r="F3" s="41" t="inlineStr">
        <is>
          <t>1. Créer bulletin pour salaire 200 000 FCFA
2. Vérifier rubrique CNPS retraite sal</t>
        </is>
      </c>
      <c r="G3" s="41" t="inlineStr">
        <is>
          <t>200 000 × 6.3% = 12 600 FCFA (&lt; plafond → pas d'écrêtement)</t>
        </is>
      </c>
      <c r="H3" s="41" t="inlineStr"/>
      <c r="I3" s="42" t="inlineStr">
        <is>
          <t>⬜ Non exécuté</t>
        </is>
      </c>
      <c r="J3" s="41" t="inlineStr"/>
      <c r="K3" s="41" t="inlineStr"/>
      <c r="L3" s="41" t="inlineStr"/>
      <c r="M3" s="41" t="inlineStr"/>
      <c r="N3" s="41" t="inlineStr"/>
      <c r="O3" s="41" t="inlineStr">
        <is>
          <t>Sprint 1</t>
        </is>
      </c>
      <c r="P3" s="41" t="inlineStr">
        <is>
          <t>Production</t>
        </is>
      </c>
    </row>
    <row r="4" ht="58" customHeight="1">
      <c r="A4" s="51" t="inlineStr">
        <is>
          <t>PAY-002</t>
        </is>
      </c>
      <c r="B4" s="40" t="inlineStr">
        <is>
          <t>P1 — Critique</t>
        </is>
      </c>
      <c r="C4" s="43" t="inlineStr">
        <is>
          <t>CNPS Retraite salarié — plafond appliqué</t>
        </is>
      </c>
      <c r="D4" s="43" t="inlineStr">
        <is>
          <t>Salaire &gt; 1 647 315 FCFA</t>
        </is>
      </c>
      <c r="E4" s="43" t="inlineStr"/>
      <c r="F4" s="43" t="inlineStr">
        <is>
          <t>1. Créer bulletin pour salaire 2 000 000 FCFA</t>
        </is>
      </c>
      <c r="G4" s="43" t="inlineStr">
        <is>
          <t>CNPS retraite sal = 1 647 315 × 6.3% = 103 781 FCFA (pas 2 000 000 × 6.3%)</t>
        </is>
      </c>
      <c r="H4" s="43" t="inlineStr"/>
      <c r="I4" s="42" t="inlineStr">
        <is>
          <t>⬜ Non exécuté</t>
        </is>
      </c>
      <c r="J4" s="43" t="inlineStr"/>
      <c r="K4" s="43" t="inlineStr"/>
      <c r="L4" s="43" t="inlineStr"/>
      <c r="M4" s="43" t="inlineStr"/>
      <c r="N4" s="43" t="inlineStr"/>
      <c r="O4" s="43" t="inlineStr">
        <is>
          <t>Sprint 1</t>
        </is>
      </c>
      <c r="P4" s="43" t="inlineStr">
        <is>
          <t>Production</t>
        </is>
      </c>
    </row>
    <row r="5" ht="58" customHeight="1">
      <c r="A5" s="51" t="inlineStr">
        <is>
          <t>PAY-003</t>
        </is>
      </c>
      <c r="B5" s="40" t="inlineStr">
        <is>
          <t>P1 — Critique</t>
        </is>
      </c>
      <c r="C5" s="41" t="inlineStr">
        <is>
          <t>CNPS AT commerce 2% — plafond 70 000 FCFA</t>
        </is>
      </c>
      <c r="D5" s="41" t="inlineStr">
        <is>
          <t>Tenant secteur Commerce</t>
        </is>
      </c>
      <c r="E5" s="41" t="inlineStr">
        <is>
          <t>Tenant services (atRate=2%)</t>
        </is>
      </c>
      <c r="F5" s="41" t="inlineStr">
        <is>
          <t>1. Générer bulletin pour salaire 200 000 FCFA
2. Vérifier rubrique AT</t>
        </is>
      </c>
      <c r="G5" s="41" t="inlineStr">
        <is>
          <t>AT = min(200 000, 70 000) × 2% = 1 400 FCFA</t>
        </is>
      </c>
      <c r="H5" s="41" t="inlineStr"/>
      <c r="I5" s="42" t="inlineStr">
        <is>
          <t>⬜ Non exécuté</t>
        </is>
      </c>
      <c r="J5" s="41" t="inlineStr"/>
      <c r="K5" s="41" t="inlineStr"/>
      <c r="L5" s="41" t="inlineStr"/>
      <c r="M5" s="41" t="inlineStr"/>
      <c r="N5" s="41" t="inlineStr"/>
      <c r="O5" s="41" t="inlineStr">
        <is>
          <t>Sprint 1</t>
        </is>
      </c>
      <c r="P5" s="41" t="inlineStr">
        <is>
          <t>Production</t>
        </is>
      </c>
    </row>
    <row r="6" ht="58" customHeight="1">
      <c r="A6" s="51" t="inlineStr">
        <is>
          <t>PAY-004</t>
        </is>
      </c>
      <c r="B6" s="40" t="inlineStr">
        <is>
          <t>P1 — Critique</t>
        </is>
      </c>
      <c r="C6" s="43" t="inlineStr">
        <is>
          <t>CNPS AT BTP 3% — plafond 70 000 FCFA</t>
        </is>
      </c>
      <c r="D6" s="43" t="inlineStr">
        <is>
          <t>Tenant secteur Transport (SOTRA atRate=3%)</t>
        </is>
      </c>
      <c r="E6" s="43" t="inlineStr">
        <is>
          <t>Tenant SOTRA connecté</t>
        </is>
      </c>
      <c r="F6" s="43" t="inlineStr">
        <is>
          <t>1. Générer bulletin SOTRA, salaire 180 000 FCFA</t>
        </is>
      </c>
      <c r="G6" s="43" t="inlineStr">
        <is>
          <t>AT = min(180 000, 70 000) × 3% = 2 100 FCFA</t>
        </is>
      </c>
      <c r="H6" s="43" t="inlineStr"/>
      <c r="I6" s="42" t="inlineStr">
        <is>
          <t>⬜ Non exécuté</t>
        </is>
      </c>
      <c r="J6" s="43" t="inlineStr"/>
      <c r="K6" s="43" t="inlineStr"/>
      <c r="L6" s="43" t="inlineStr"/>
      <c r="M6" s="43" t="inlineStr"/>
      <c r="N6" s="43" t="inlineStr"/>
      <c r="O6" s="43" t="inlineStr">
        <is>
          <t>Sprint 1</t>
        </is>
      </c>
      <c r="P6" s="43" t="inlineStr">
        <is>
          <t>Production</t>
        </is>
      </c>
    </row>
    <row r="7" ht="58" customHeight="1">
      <c r="A7" s="51" t="inlineStr">
        <is>
          <t>PAY-005</t>
        </is>
      </c>
      <c r="B7" s="40" t="inlineStr">
        <is>
          <t>P1 — Critique</t>
        </is>
      </c>
      <c r="C7" s="41" t="inlineStr">
        <is>
          <t>CNPS Prestations Familiales 5%</t>
        </is>
      </c>
      <c r="D7" s="41" t="inlineStr">
        <is>
          <t>Part patronale seulement, plafond 70 000</t>
        </is>
      </c>
      <c r="E7" s="41" t="inlineStr"/>
      <c r="F7" s="41" t="inlineStr">
        <is>
          <t>1. Vérifier rubrique PF sur bulletin</t>
        </is>
      </c>
      <c r="G7" s="41" t="inlineStr">
        <is>
          <t>PF = min(BRUT, 70 000) × 5%, salarié ne paie rien sur cette branche</t>
        </is>
      </c>
      <c r="H7" s="41" t="inlineStr"/>
      <c r="I7" s="42" t="inlineStr">
        <is>
          <t>⬜ Non exécuté</t>
        </is>
      </c>
      <c r="J7" s="41" t="inlineStr"/>
      <c r="K7" s="41" t="inlineStr"/>
      <c r="L7" s="41" t="inlineStr"/>
      <c r="M7" s="41" t="inlineStr"/>
      <c r="N7" s="41" t="inlineStr"/>
      <c r="O7" s="41" t="inlineStr">
        <is>
          <t>Sprint 1</t>
        </is>
      </c>
      <c r="P7" s="41" t="inlineStr">
        <is>
          <t>Production</t>
        </is>
      </c>
    </row>
    <row r="8" ht="58" customHeight="1">
      <c r="A8" s="51" t="inlineStr">
        <is>
          <t>PAY-006</t>
        </is>
      </c>
      <c r="B8" s="40" t="inlineStr">
        <is>
          <t>P1 — Critique</t>
        </is>
      </c>
      <c r="C8" s="43" t="inlineStr">
        <is>
          <t>CNPS Maternité 0.75% — patronal</t>
        </is>
      </c>
      <c r="D8" s="43" t="inlineStr"/>
      <c r="E8" s="43" t="inlineStr"/>
      <c r="F8" s="43" t="inlineStr">
        <is>
          <t>1. Vérifier rubrique maternité</t>
        </is>
      </c>
      <c r="G8" s="43" t="inlineStr">
        <is>
          <t>Maternité = min(BRUT, 70 000) × 0.75%</t>
        </is>
      </c>
      <c r="H8" s="43" t="inlineStr"/>
      <c r="I8" s="42" t="inlineStr">
        <is>
          <t>⬜ Non exécuté</t>
        </is>
      </c>
      <c r="J8" s="43" t="inlineStr"/>
      <c r="K8" s="43" t="inlineStr"/>
      <c r="L8" s="43" t="inlineStr"/>
      <c r="M8" s="43" t="inlineStr"/>
      <c r="N8" s="43" t="inlineStr"/>
      <c r="O8" s="43" t="inlineStr">
        <is>
          <t>Sprint 1</t>
        </is>
      </c>
      <c r="P8" s="43" t="inlineStr">
        <is>
          <t>Production</t>
        </is>
      </c>
    </row>
    <row r="9" ht="58" customHeight="1">
      <c r="A9" s="51" t="inlineStr">
        <is>
          <t>PAY-007</t>
        </is>
      </c>
      <c r="B9" s="40" t="inlineStr">
        <is>
          <t>P1 — Critique</t>
        </is>
      </c>
      <c r="C9" s="41" t="inlineStr">
        <is>
          <t>ITS barème 0% — salaire net imposable ≤ 75 000 FCFA</t>
        </is>
      </c>
      <c r="D9" s="41" t="inlineStr">
        <is>
          <t>Salaire SMIG = 60 000 FCFA</t>
        </is>
      </c>
      <c r="E9" s="41" t="inlineStr"/>
      <c r="F9" s="41" t="inlineStr">
        <is>
          <t>1. Créer bulletin SMIG = 60 000 FCFA
2. Calculer net imposable = 60 000 × 0.85 - CNPS</t>
        </is>
      </c>
      <c r="G9" s="41" t="inlineStr">
        <is>
          <t>ITS = 0 FCFA</t>
        </is>
      </c>
      <c r="H9" s="41" t="inlineStr"/>
      <c r="I9" s="42" t="inlineStr">
        <is>
          <t>⬜ Non exécuté</t>
        </is>
      </c>
      <c r="J9" s="41" t="inlineStr"/>
      <c r="K9" s="41" t="inlineStr"/>
      <c r="L9" s="41" t="inlineStr"/>
      <c r="M9" s="41" t="inlineStr"/>
      <c r="N9" s="41" t="inlineStr"/>
      <c r="O9" s="41" t="inlineStr">
        <is>
          <t>Sprint 1</t>
        </is>
      </c>
      <c r="P9" s="41" t="inlineStr">
        <is>
          <t>Production</t>
        </is>
      </c>
    </row>
    <row r="10" ht="58" customHeight="1">
      <c r="A10" s="51" t="inlineStr">
        <is>
          <t>PAY-008</t>
        </is>
      </c>
      <c r="B10" s="40" t="inlineStr">
        <is>
          <t>P1 — Critique</t>
        </is>
      </c>
      <c r="C10" s="43" t="inlineStr">
        <is>
          <t>ITS barème 1.5% — tranche 75 001 à 240 000 FCFA</t>
        </is>
      </c>
      <c r="D10" s="43" t="inlineStr">
        <is>
          <t>Salaire net imposable dans cette tranche</t>
        </is>
      </c>
      <c r="E10" s="43" t="inlineStr"/>
      <c r="F10" s="43" t="inlineStr">
        <is>
          <t>1. Salaire brut 120 000 FCFA
2. Net imposable = 120 000×0.85 - CNPS ≈ 94 440</t>
        </is>
      </c>
      <c r="G10" s="43" t="inlineStr">
        <is>
          <t>ITS = (94 440 - 75 000) × 1.5% ≈ 292 FCFA</t>
        </is>
      </c>
      <c r="H10" s="43" t="inlineStr"/>
      <c r="I10" s="42" t="inlineStr">
        <is>
          <t>⬜ Non exécuté</t>
        </is>
      </c>
      <c r="J10" s="43" t="inlineStr"/>
      <c r="K10" s="43" t="inlineStr"/>
      <c r="L10" s="43" t="inlineStr"/>
      <c r="M10" s="43" t="inlineStr"/>
      <c r="N10" s="43" t="inlineStr"/>
      <c r="O10" s="43" t="inlineStr">
        <is>
          <t>Sprint 1</t>
        </is>
      </c>
      <c r="P10" s="43" t="inlineStr">
        <is>
          <t>Production</t>
        </is>
      </c>
    </row>
    <row r="11" ht="58" customHeight="1">
      <c r="A11" s="51" t="inlineStr">
        <is>
          <t>PAY-009</t>
        </is>
      </c>
      <c r="B11" s="40" t="inlineStr">
        <is>
          <t>P1 — Critique</t>
        </is>
      </c>
      <c r="C11" s="41" t="inlineStr">
        <is>
          <t>ITS barème 5% — tranche 240 001 à 800 000 FCFA</t>
        </is>
      </c>
      <c r="D11" s="41" t="inlineStr"/>
      <c r="E11" s="41" t="inlineStr"/>
      <c r="F11" s="41" t="inlineStr">
        <is>
          <t>1. Salaire brut 400 000 FCFA</t>
        </is>
      </c>
      <c r="G11" s="41" t="inlineStr">
        <is>
          <t>ITS calculé selon barème progressif, taux 5% sur la tranche</t>
        </is>
      </c>
      <c r="H11" s="41" t="inlineStr"/>
      <c r="I11" s="42" t="inlineStr">
        <is>
          <t>⬜ Non exécuté</t>
        </is>
      </c>
      <c r="J11" s="41" t="inlineStr"/>
      <c r="K11" s="41" t="inlineStr"/>
      <c r="L11" s="41" t="inlineStr"/>
      <c r="M11" s="41" t="inlineStr"/>
      <c r="N11" s="41" t="inlineStr"/>
      <c r="O11" s="41" t="inlineStr">
        <is>
          <t>Sprint 1</t>
        </is>
      </c>
      <c r="P11" s="41" t="inlineStr">
        <is>
          <t>Production</t>
        </is>
      </c>
    </row>
    <row r="12" ht="58" customHeight="1">
      <c r="A12" s="51" t="inlineStr">
        <is>
          <t>PAY-010</t>
        </is>
      </c>
      <c r="B12" s="40" t="inlineStr">
        <is>
          <t>P1 — Critique</t>
        </is>
      </c>
      <c r="C12" s="43" t="inlineStr">
        <is>
          <t>ITS barème 10% — tranche 800 001 à 2 000 000 FCFA</t>
        </is>
      </c>
      <c r="D12" s="43" t="inlineStr"/>
      <c r="E12" s="43" t="inlineStr"/>
      <c r="F12" s="43" t="inlineStr">
        <is>
          <t>1. Salaire brut 1 200 000 FCFA</t>
        </is>
      </c>
      <c r="G12" s="43" t="inlineStr">
        <is>
          <t>ITS avec taux 10% sur la tranche concernée</t>
        </is>
      </c>
      <c r="H12" s="43" t="inlineStr"/>
      <c r="I12" s="42" t="inlineStr">
        <is>
          <t>⬜ Non exécuté</t>
        </is>
      </c>
      <c r="J12" s="43" t="inlineStr"/>
      <c r="K12" s="43" t="inlineStr"/>
      <c r="L12" s="43" t="inlineStr"/>
      <c r="M12" s="43" t="inlineStr"/>
      <c r="N12" s="43" t="inlineStr"/>
      <c r="O12" s="43" t="inlineStr">
        <is>
          <t>Sprint 1</t>
        </is>
      </c>
      <c r="P12" s="43" t="inlineStr">
        <is>
          <t>Production</t>
        </is>
      </c>
    </row>
    <row r="13" ht="58" customHeight="1">
      <c r="A13" s="51" t="inlineStr">
        <is>
          <t>PAY-011</t>
        </is>
      </c>
      <c r="B13" s="40" t="inlineStr">
        <is>
          <t>P1 — Critique</t>
        </is>
      </c>
      <c r="C13" s="41" t="inlineStr">
        <is>
          <t>ITS barème 15% — tranche &gt; 2 000 000 FCFA</t>
        </is>
      </c>
      <c r="D13" s="41" t="inlineStr"/>
      <c r="E13" s="41" t="inlineStr"/>
      <c r="F13" s="41" t="inlineStr">
        <is>
          <t>1. Salaire brut 3 000 000 FCFA</t>
        </is>
      </c>
      <c r="G13" s="41" t="inlineStr">
        <is>
          <t>ITS avec taux 15% sur la tranche &gt; 2M</t>
        </is>
      </c>
      <c r="H13" s="41" t="inlineStr"/>
      <c r="I13" s="42" t="inlineStr">
        <is>
          <t>⬜ Non exécuté</t>
        </is>
      </c>
      <c r="J13" s="41" t="inlineStr"/>
      <c r="K13" s="41" t="inlineStr"/>
      <c r="L13" s="41" t="inlineStr"/>
      <c r="M13" s="41" t="inlineStr"/>
      <c r="N13" s="41" t="inlineStr"/>
      <c r="O13" s="41" t="inlineStr">
        <is>
          <t>Sprint 1</t>
        </is>
      </c>
      <c r="P13" s="41" t="inlineStr">
        <is>
          <t>Production</t>
        </is>
      </c>
    </row>
    <row r="14" ht="58" customHeight="1">
      <c r="A14" s="51" t="inlineStr">
        <is>
          <t>PAY-012</t>
        </is>
      </c>
      <c r="B14" s="40" t="inlineStr">
        <is>
          <t>P1 — Critique</t>
        </is>
      </c>
      <c r="C14" s="43" t="inlineStr">
        <is>
          <t>Abattement ITS 15% appliqué avant barème</t>
        </is>
      </c>
      <c r="D14" s="43" t="inlineStr">
        <is>
          <t>Net imposable = BRUT × 0.85</t>
        </is>
      </c>
      <c r="E14" s="43" t="inlineStr"/>
      <c r="F14" s="43" t="inlineStr">
        <is>
          <t>1. Salaire 200 000 FCFA
2. Vérifier base de calcul ITS</t>
        </is>
      </c>
      <c r="G14" s="43" t="inlineStr">
        <is>
          <t>Base ITS = 200 000 × 0.85 - CNPS sal, PAS directement 200 000</t>
        </is>
      </c>
      <c r="H14" s="43" t="inlineStr"/>
      <c r="I14" s="42" t="inlineStr">
        <is>
          <t>⬜ Non exécuté</t>
        </is>
      </c>
      <c r="J14" s="43" t="inlineStr"/>
      <c r="K14" s="43" t="inlineStr"/>
      <c r="L14" s="43" t="inlineStr"/>
      <c r="M14" s="43" t="inlineStr"/>
      <c r="N14" s="43" t="inlineStr"/>
      <c r="O14" s="43" t="inlineStr">
        <is>
          <t>Sprint 1</t>
        </is>
      </c>
      <c r="P14" s="43" t="inlineStr">
        <is>
          <t>Production</t>
        </is>
      </c>
    </row>
    <row r="15" ht="58" customHeight="1">
      <c r="A15" s="51" t="inlineStr">
        <is>
          <t>PAY-013</t>
        </is>
      </c>
      <c r="B15" s="44" t="inlineStr">
        <is>
          <t>P2 — Haute</t>
        </is>
      </c>
      <c r="C15" s="41" t="inlineStr">
        <is>
          <t>Crédit d'impôt marié sans enfant — 5 500 FCFA/mois</t>
        </is>
      </c>
      <c r="D15" s="41" t="inlineStr"/>
      <c r="E15" s="41" t="inlineStr"/>
      <c r="F15" s="41" t="inlineStr">
        <is>
          <t>1. Employé marié, 0 enfant
2. Vérifier crédit ITS</t>
        </is>
      </c>
      <c r="G15" s="41" t="inlineStr">
        <is>
          <t>ITS final = max(0, ITS brut - 5 500)</t>
        </is>
      </c>
      <c r="H15" s="41" t="inlineStr"/>
      <c r="I15" s="42" t="inlineStr">
        <is>
          <t>⬜ Non exécuté</t>
        </is>
      </c>
      <c r="J15" s="41" t="inlineStr"/>
      <c r="K15" s="41" t="inlineStr"/>
      <c r="L15" s="41" t="inlineStr"/>
      <c r="M15" s="41" t="inlineStr"/>
      <c r="N15" s="41" t="inlineStr"/>
      <c r="O15" s="41" t="inlineStr">
        <is>
          <t>Sprint 1</t>
        </is>
      </c>
      <c r="P15" s="41" t="inlineStr">
        <is>
          <t>Production</t>
        </is>
      </c>
    </row>
    <row r="16" ht="58" customHeight="1">
      <c r="A16" s="51" t="inlineStr">
        <is>
          <t>PAY-014</t>
        </is>
      </c>
      <c r="B16" s="44" t="inlineStr">
        <is>
          <t>P2 — Haute</t>
        </is>
      </c>
      <c r="C16" s="43" t="inlineStr">
        <is>
          <t>Crédit d'impôt 1 enfant — 3 000 FCFA supplémentaires</t>
        </is>
      </c>
      <c r="D16" s="43" t="inlineStr"/>
      <c r="E16" s="43" t="inlineStr"/>
      <c r="F16" s="43" t="inlineStr">
        <is>
          <t>1. Employé marié, 1 enfant
2. Crédit = 5 500 + 3 000 = 8 500 FCFA</t>
        </is>
      </c>
      <c r="G16" s="43" t="inlineStr">
        <is>
          <t>ITS final déduit du crédit cumulé</t>
        </is>
      </c>
      <c r="H16" s="43" t="inlineStr"/>
      <c r="I16" s="42" t="inlineStr">
        <is>
          <t>⬜ Non exécuté</t>
        </is>
      </c>
      <c r="J16" s="43" t="inlineStr"/>
      <c r="K16" s="43" t="inlineStr"/>
      <c r="L16" s="43" t="inlineStr"/>
      <c r="M16" s="43" t="inlineStr"/>
      <c r="N16" s="43" t="inlineStr"/>
      <c r="O16" s="43" t="inlineStr">
        <is>
          <t>Sprint 1</t>
        </is>
      </c>
      <c r="P16" s="43" t="inlineStr">
        <is>
          <t>Production</t>
        </is>
      </c>
    </row>
    <row r="17" ht="58" customHeight="1">
      <c r="A17" s="51" t="inlineStr">
        <is>
          <t>PAY-015</t>
        </is>
      </c>
      <c r="B17" s="44" t="inlineStr">
        <is>
          <t>P2 — Haute</t>
        </is>
      </c>
      <c r="C17" s="41" t="inlineStr">
        <is>
          <t>Crédit d'impôt 3+ enfants — 9 000 FCFA supplémentaires</t>
        </is>
      </c>
      <c r="D17" s="41" t="inlineStr"/>
      <c r="E17" s="41" t="inlineStr"/>
      <c r="F17" s="41" t="inlineStr">
        <is>
          <t>1. Employé marié, 3 enfants
2. Crédit = 5 500 + 9 000 = 14 500 FCFA</t>
        </is>
      </c>
      <c r="G17" s="41" t="inlineStr">
        <is>
          <t>ITS final correct</t>
        </is>
      </c>
      <c r="H17" s="41" t="inlineStr"/>
      <c r="I17" s="42" t="inlineStr">
        <is>
          <t>⬜ Non exécuté</t>
        </is>
      </c>
      <c r="J17" s="41" t="inlineStr"/>
      <c r="K17" s="41" t="inlineStr"/>
      <c r="L17" s="41" t="inlineStr"/>
      <c r="M17" s="41" t="inlineStr"/>
      <c r="N17" s="41" t="inlineStr"/>
      <c r="O17" s="41" t="inlineStr">
        <is>
          <t>Sprint 1</t>
        </is>
      </c>
      <c r="P17" s="41" t="inlineStr">
        <is>
          <t>Production</t>
        </is>
      </c>
    </row>
    <row r="18" ht="58" customHeight="1">
      <c r="A18" s="51" t="inlineStr">
        <is>
          <t>PAY-016</t>
        </is>
      </c>
      <c r="B18" s="40" t="inlineStr">
        <is>
          <t>P1 — Critique</t>
        </is>
      </c>
      <c r="C18" s="43" t="inlineStr">
        <is>
          <t>Net payable ≥ SMIG 60 000 FCFA</t>
        </is>
      </c>
      <c r="D18" s="43" t="inlineStr">
        <is>
          <t>Vérification du plancher légal CI</t>
        </is>
      </c>
      <c r="E18" s="43" t="inlineStr"/>
      <c r="F18" s="43" t="inlineStr">
        <is>
          <t>1. Créer bulletin pour salaire bas (60 000 FCFA)
2. Vérifier net payable</t>
        </is>
      </c>
      <c r="G18" s="43" t="inlineStr">
        <is>
          <t>Net payable ≥ 60 000 FCFA, jamais en dessous du SMIG pour temps plein</t>
        </is>
      </c>
      <c r="H18" s="43" t="inlineStr"/>
      <c r="I18" s="42" t="inlineStr">
        <is>
          <t>⬜ Non exécuté</t>
        </is>
      </c>
      <c r="J18" s="43" t="inlineStr"/>
      <c r="K18" s="43" t="inlineStr"/>
      <c r="L18" s="43" t="inlineStr"/>
      <c r="M18" s="43" t="inlineStr"/>
      <c r="N18" s="43" t="inlineStr"/>
      <c r="O18" s="43" t="inlineStr">
        <is>
          <t>Sprint 1</t>
        </is>
      </c>
      <c r="P18" s="43" t="inlineStr">
        <is>
          <t>Production</t>
        </is>
      </c>
    </row>
    <row r="19" ht="58" customHeight="1">
      <c r="A19" s="51" t="inlineStr">
        <is>
          <t>PAY-017</t>
        </is>
      </c>
      <c r="B19" s="44" t="inlineStr">
        <is>
          <t>P2 — Haute</t>
        </is>
      </c>
      <c r="C19" s="41" t="inlineStr">
        <is>
          <t>Prorata jours travaillés</t>
        </is>
      </c>
      <c r="D19" s="41" t="inlineStr">
        <is>
          <t>BRUT_PRORATA = BRUT × (jours_travaillés / jours_ouvrables)</t>
        </is>
      </c>
      <c r="E19" s="41" t="inlineStr"/>
      <c r="F19" s="41" t="inlineStr">
        <is>
          <t>1. Employé ayant travaillé 13j sur 26j ouvrables
2. Vérifier BRUT_PRORATA</t>
        </is>
      </c>
      <c r="G19" s="41" t="inlineStr">
        <is>
          <t>Salaire brut = 50% du brut mensuel contractuel</t>
        </is>
      </c>
      <c r="H19" s="41" t="inlineStr"/>
      <c r="I19" s="42" t="inlineStr">
        <is>
          <t>⬜ Non exécuté</t>
        </is>
      </c>
      <c r="J19" s="41" t="inlineStr"/>
      <c r="K19" s="41" t="inlineStr"/>
      <c r="L19" s="41" t="inlineStr"/>
      <c r="M19" s="41" t="inlineStr"/>
      <c r="N19" s="41" t="inlineStr"/>
      <c r="O19" s="41" t="inlineStr">
        <is>
          <t>Sprint 1</t>
        </is>
      </c>
      <c r="P19" s="41" t="inlineStr">
        <is>
          <t>Production</t>
        </is>
      </c>
    </row>
    <row r="20" ht="58" customHeight="1">
      <c r="A20" s="51" t="inlineStr">
        <is>
          <t>PAY-018</t>
        </is>
      </c>
      <c r="B20" s="44" t="inlineStr">
        <is>
          <t>P2 — Haute</t>
        </is>
      </c>
      <c r="C20" s="43" t="inlineStr">
        <is>
          <t>Prime de transport intégrée (variable elements)</t>
        </is>
      </c>
      <c r="D20" s="43" t="inlineStr"/>
      <c r="E20" s="43" t="inlineStr"/>
      <c r="F20" s="43" t="inlineStr">
        <is>
          <t>1. Ajouter prime transport 30 000 FCFA dans variable elements</t>
        </is>
      </c>
      <c r="G20" s="43" t="inlineStr">
        <is>
          <t>Bulletin inclut prime, brut augmenté, CNPS recalculé</t>
        </is>
      </c>
      <c r="H20" s="43" t="inlineStr"/>
      <c r="I20" s="42" t="inlineStr">
        <is>
          <t>⬜ Non exécuté</t>
        </is>
      </c>
      <c r="J20" s="43" t="inlineStr"/>
      <c r="K20" s="43" t="inlineStr"/>
      <c r="L20" s="43" t="inlineStr"/>
      <c r="M20" s="43" t="inlineStr"/>
      <c r="N20" s="43" t="inlineStr"/>
      <c r="O20" s="43" t="inlineStr">
        <is>
          <t>Sprint 1</t>
        </is>
      </c>
      <c r="P20" s="43" t="inlineStr">
        <is>
          <t>Production</t>
        </is>
      </c>
    </row>
    <row r="21" ht="58" customHeight="1">
      <c r="A21" s="51" t="inlineStr">
        <is>
          <t>PAY-019</t>
        </is>
      </c>
      <c r="B21" s="40" t="inlineStr">
        <is>
          <t>P1 — Critique</t>
        </is>
      </c>
      <c r="C21" s="41" t="inlineStr">
        <is>
          <t>Création période de paie</t>
        </is>
      </c>
      <c r="D21" s="41" t="inlineStr"/>
      <c r="E21" s="41" t="inlineStr">
        <is>
          <t>Admin connecté</t>
        </is>
      </c>
      <c r="F21" s="41" t="inlineStr">
        <is>
          <t>1. Paie → Nouvelle période → Mai 2025
2. Créer</t>
        </is>
      </c>
      <c r="G21" s="41" t="inlineStr">
        <is>
          <t>Période créée avec statut 'open'</t>
        </is>
      </c>
      <c r="H21" s="41" t="inlineStr"/>
      <c r="I21" s="42" t="inlineStr">
        <is>
          <t>⬜ Non exécuté</t>
        </is>
      </c>
      <c r="J21" s="41" t="inlineStr"/>
      <c r="K21" s="41" t="inlineStr"/>
      <c r="L21" s="41" t="inlineStr"/>
      <c r="M21" s="41" t="inlineStr"/>
      <c r="N21" s="41" t="inlineStr"/>
      <c r="O21" s="41" t="inlineStr">
        <is>
          <t>Sprint 1</t>
        </is>
      </c>
      <c r="P21" s="41" t="inlineStr">
        <is>
          <t>Production</t>
        </is>
      </c>
    </row>
    <row r="22" ht="58" customHeight="1">
      <c r="A22" s="51" t="inlineStr">
        <is>
          <t>PAY-020</t>
        </is>
      </c>
      <c r="B22" s="40" t="inlineStr">
        <is>
          <t>P1 — Critique</t>
        </is>
      </c>
      <c r="C22" s="43" t="inlineStr">
        <is>
          <t>Génération bulletins pour tous les employés actifs</t>
        </is>
      </c>
      <c r="D22" s="43" t="inlineStr"/>
      <c r="E22" s="43" t="inlineStr">
        <is>
          <t>Période ouverte</t>
        </is>
      </c>
      <c r="F22" s="43" t="inlineStr">
        <is>
          <t>1. Période → Générer bulletins
2. Confirmer</t>
        </is>
      </c>
      <c r="G22" s="43" t="inlineStr">
        <is>
          <t>Un bulletin par employé actif, calculs CNPS+ITS correct, pas de décimales</t>
        </is>
      </c>
      <c r="H22" s="43" t="inlineStr"/>
      <c r="I22" s="42" t="inlineStr">
        <is>
          <t>⬜ Non exécuté</t>
        </is>
      </c>
      <c r="J22" s="43" t="inlineStr"/>
      <c r="K22" s="43" t="inlineStr"/>
      <c r="L22" s="43" t="inlineStr"/>
      <c r="M22" s="43" t="inlineStr"/>
      <c r="N22" s="43" t="inlineStr"/>
      <c r="O22" s="43" t="inlineStr">
        <is>
          <t>Sprint 1</t>
        </is>
      </c>
      <c r="P22" s="43" t="inlineStr">
        <is>
          <t>Production</t>
        </is>
      </c>
    </row>
    <row r="23" ht="58" customHeight="1">
      <c r="A23" s="51" t="inlineStr">
        <is>
          <t>PAY-021</t>
        </is>
      </c>
      <c r="B23" s="40" t="inlineStr">
        <is>
          <t>P1 — Critique</t>
        </is>
      </c>
      <c r="C23" s="41" t="inlineStr">
        <is>
          <t>Clôture période de paie</t>
        </is>
      </c>
      <c r="D23" s="41" t="inlineStr"/>
      <c r="E23" s="41" t="inlineStr">
        <is>
          <t>Bulletins générés</t>
        </is>
      </c>
      <c r="F23" s="41" t="inlineStr">
        <is>
          <t>1. Période → Clôturer</t>
        </is>
      </c>
      <c r="G23" s="41" t="inlineStr">
        <is>
          <t>Statut = 'closed', bulletins figés, plus de modification possible</t>
        </is>
      </c>
      <c r="H23" s="41" t="inlineStr"/>
      <c r="I23" s="42" t="inlineStr">
        <is>
          <t>⬜ Non exécuté</t>
        </is>
      </c>
      <c r="J23" s="41" t="inlineStr"/>
      <c r="K23" s="41" t="inlineStr"/>
      <c r="L23" s="41" t="inlineStr"/>
      <c r="M23" s="41" t="inlineStr"/>
      <c r="N23" s="41" t="inlineStr"/>
      <c r="O23" s="41" t="inlineStr">
        <is>
          <t>Sprint 1</t>
        </is>
      </c>
      <c r="P23" s="41" t="inlineStr">
        <is>
          <t>Production</t>
        </is>
      </c>
    </row>
    <row r="24" ht="58" customHeight="1">
      <c r="A24" s="51" t="inlineStr">
        <is>
          <t>PAY-022</t>
        </is>
      </c>
      <c r="B24" s="40" t="inlineStr">
        <is>
          <t>P1 — Critique</t>
        </is>
      </c>
      <c r="C24" s="43" t="inlineStr">
        <is>
          <t>Téléchargement bulletin PDF — employee</t>
        </is>
      </c>
      <c r="D24" s="43" t="inlineStr">
        <is>
          <t>employe@sotra.ci télécharge son bulletin</t>
        </is>
      </c>
      <c r="E24" s="43" t="inlineStr">
        <is>
          <t>Bulletins générés</t>
        </is>
      </c>
      <c r="F24" s="43" t="inlineStr">
        <is>
          <t>1. /mon-espace/bulletins
2. Cliquer Télécharger sur un bulletin</t>
        </is>
      </c>
      <c r="G24" s="43" t="inlineStr">
        <is>
          <t>PDF téléchargé avec logo SOTRA, mentions CNPS, ITS, NNI, net FCFA, pas de décimales</t>
        </is>
      </c>
      <c r="H24" s="43" t="inlineStr"/>
      <c r="I24" s="42" t="inlineStr">
        <is>
          <t>⬜ Non exécuté</t>
        </is>
      </c>
      <c r="J24" s="43" t="inlineStr"/>
      <c r="K24" s="43" t="inlineStr"/>
      <c r="L24" s="43" t="inlineStr"/>
      <c r="M24" s="43" t="inlineStr"/>
      <c r="N24" s="43" t="inlineStr"/>
      <c r="O24" s="43" t="inlineStr">
        <is>
          <t>Sprint 1</t>
        </is>
      </c>
      <c r="P24" s="43" t="inlineStr">
        <is>
          <t>Production</t>
        </is>
      </c>
    </row>
    <row r="25" ht="58" customHeight="1">
      <c r="A25" s="51" t="inlineStr">
        <is>
          <t>PAY-023</t>
        </is>
      </c>
      <c r="B25" s="44" t="inlineStr">
        <is>
          <t>P2 — Haute</t>
        </is>
      </c>
      <c r="C25" s="41" t="inlineStr">
        <is>
          <t>Badge 'Nouveau' bulletin non consulté</t>
        </is>
      </c>
      <c r="D25" s="41" t="inlineStr"/>
      <c r="E25" s="41" t="inlineStr">
        <is>
          <t>Bulletin non encore ouvert par l'employé</t>
        </is>
      </c>
      <c r="F25" s="41" t="inlineStr">
        <is>
          <t>1. Connecter employe
2. Observer /mon-espace/bulletins</t>
        </is>
      </c>
      <c r="G25" s="41" t="inlineStr">
        <is>
          <t>Badge 'Nouveau' visible sur les bulletins dont viewed_by_employee_at IS NULL</t>
        </is>
      </c>
      <c r="H25" s="41" t="inlineStr"/>
      <c r="I25" s="42" t="inlineStr">
        <is>
          <t>⬜ Non exécuté</t>
        </is>
      </c>
      <c r="J25" s="41" t="inlineStr"/>
      <c r="K25" s="41" t="inlineStr"/>
      <c r="L25" s="41" t="inlineStr"/>
      <c r="M25" s="41" t="inlineStr"/>
      <c r="N25" s="41" t="inlineStr"/>
      <c r="O25" s="41" t="inlineStr">
        <is>
          <t>Sprint 1</t>
        </is>
      </c>
      <c r="P25" s="41" t="inlineStr">
        <is>
          <t>Production</t>
        </is>
      </c>
    </row>
    <row r="26" ht="58" customHeight="1">
      <c r="A26" s="51" t="inlineStr">
        <is>
          <t>PAY-024</t>
        </is>
      </c>
      <c r="B26" s="40" t="inlineStr">
        <is>
          <t>P1 — Critique</t>
        </is>
      </c>
      <c r="C26" s="43" t="inlineStr">
        <is>
          <t>Historique 24 bulletins — mon-espace</t>
        </is>
      </c>
      <c r="D26" s="43" t="inlineStr"/>
      <c r="E26" s="43" t="inlineStr"/>
      <c r="F26" s="43" t="inlineStr">
        <is>
          <t>1. /mon-espace/bulletins</t>
        </is>
      </c>
      <c r="G26" s="43" t="inlineStr">
        <is>
          <t>Liste des 24 derniers bulletins, triés du plus récent au plus ancien</t>
        </is>
      </c>
      <c r="H26" s="43" t="inlineStr"/>
      <c r="I26" s="42" t="inlineStr">
        <is>
          <t>⬜ Non exécuté</t>
        </is>
      </c>
      <c r="J26" s="43" t="inlineStr"/>
      <c r="K26" s="43" t="inlineStr"/>
      <c r="L26" s="43" t="inlineStr"/>
      <c r="M26" s="43" t="inlineStr"/>
      <c r="N26" s="43" t="inlineStr"/>
      <c r="O26" s="43" t="inlineStr">
        <is>
          <t>Sprint 1</t>
        </is>
      </c>
      <c r="P26" s="43" t="inlineStr">
        <is>
          <t>Production</t>
        </is>
      </c>
    </row>
    <row r="27" ht="58" customHeight="1">
      <c r="A27" s="51" t="inlineStr">
        <is>
          <t>PAY-025</t>
        </is>
      </c>
      <c r="B27" s="40" t="inlineStr">
        <is>
          <t>P1 — Critique</t>
        </is>
      </c>
      <c r="C27" s="41" t="inlineStr">
        <is>
          <t>Cumuls annuels corrects sur bulletin</t>
        </is>
      </c>
      <c r="D27" s="41" t="inlineStr"/>
      <c r="E27" s="41" t="inlineStr"/>
      <c r="F27" s="41" t="inlineStr">
        <is>
          <t>1. Ouvrir un bulletin de décembre
2. Vérifier cumuls YTD</t>
        </is>
      </c>
      <c r="G27" s="41" t="inlineStr">
        <is>
          <t>Cumuls = somme de tous les bulletins de l'année en cours</t>
        </is>
      </c>
      <c r="H27" s="41" t="inlineStr"/>
      <c r="I27" s="42" t="inlineStr">
        <is>
          <t>⬜ Non exécuté</t>
        </is>
      </c>
      <c r="J27" s="41" t="inlineStr"/>
      <c r="K27" s="41" t="inlineStr"/>
      <c r="L27" s="41" t="inlineStr"/>
      <c r="M27" s="41" t="inlineStr"/>
      <c r="N27" s="41" t="inlineStr"/>
      <c r="O27" s="41" t="inlineStr">
        <is>
          <t>Sprint 1</t>
        </is>
      </c>
      <c r="P27" s="41" t="inlineStr">
        <is>
          <t>Production</t>
        </is>
      </c>
    </row>
    <row r="28" ht="58" customHeight="1">
      <c r="A28" s="51" t="inlineStr">
        <is>
          <t>PAY-026</t>
        </is>
      </c>
      <c r="B28" s="40" t="inlineStr">
        <is>
          <t>P1 — Critique</t>
        </is>
      </c>
      <c r="C28" s="43" t="inlineStr">
        <is>
          <t>FCFA entiers — zéro décimale</t>
        </is>
      </c>
      <c r="D28" s="43" t="inlineStr"/>
      <c r="E28" s="43" t="inlineStr"/>
      <c r="F28" s="43" t="inlineStr">
        <is>
          <t>1. Ouvrir n'importe quel bulletin
2. Vérifier tous les montants</t>
        </is>
      </c>
      <c r="G28" s="43" t="inlineStr">
        <is>
          <t>Aucun montant avec virgule, tout en FCFA entiers</t>
        </is>
      </c>
      <c r="H28" s="43" t="inlineStr"/>
      <c r="I28" s="42" t="inlineStr">
        <is>
          <t>⬜ Non exécuté</t>
        </is>
      </c>
      <c r="J28" s="43" t="inlineStr"/>
      <c r="K28" s="43" t="inlineStr"/>
      <c r="L28" s="43" t="inlineStr"/>
      <c r="M28" s="43" t="inlineStr"/>
      <c r="N28" s="43" t="inlineStr"/>
      <c r="O28" s="43" t="inlineStr">
        <is>
          <t>Sprint 1</t>
        </is>
      </c>
      <c r="P28" s="43" t="inlineStr">
        <is>
          <t>Production</t>
        </is>
      </c>
    </row>
    <row r="29" ht="58" customHeight="1">
      <c r="A29" s="51" t="inlineStr">
        <is>
          <t>PAY-027</t>
        </is>
      </c>
      <c r="B29" s="44" t="inlineStr">
        <is>
          <t>P2 — Haute</t>
        </is>
      </c>
      <c r="C29" s="41" t="inlineStr">
        <is>
          <t>Vue admin — tous les bulletins</t>
        </is>
      </c>
      <c r="D29" s="41" t="inlineStr">
        <is>
          <t>Admin peut accéder aux bulletins de tous les employés</t>
        </is>
      </c>
      <c r="E29" s="41" t="inlineStr"/>
      <c r="F29" s="41" t="inlineStr">
        <is>
          <t>1. Connecter admin
2. Accéder /payroll/payslips</t>
        </is>
      </c>
      <c r="G29" s="41" t="inlineStr">
        <is>
          <t>Grille complète avec filtres par période et employé</t>
        </is>
      </c>
      <c r="H29" s="41" t="inlineStr"/>
      <c r="I29" s="42" t="inlineStr">
        <is>
          <t>⬜ Non exécuté</t>
        </is>
      </c>
      <c r="J29" s="41" t="inlineStr"/>
      <c r="K29" s="41" t="inlineStr"/>
      <c r="L29" s="41" t="inlineStr"/>
      <c r="M29" s="41" t="inlineStr"/>
      <c r="N29" s="41" t="inlineStr"/>
      <c r="O29" s="41" t="inlineStr">
        <is>
          <t>Sprint 1</t>
        </is>
      </c>
      <c r="P29" s="41" t="inlineStr">
        <is>
          <t>Production</t>
        </is>
      </c>
    </row>
    <row r="30" ht="58" customHeight="1">
      <c r="A30" s="51" t="inlineStr">
        <is>
          <t>PAY-028</t>
        </is>
      </c>
      <c r="B30" s="44" t="inlineStr">
        <is>
          <t>P2 — Haute</t>
        </is>
      </c>
      <c r="C30" s="43" t="inlineStr">
        <is>
          <t>Employeur cost calculé</t>
        </is>
      </c>
      <c r="D30" s="43" t="inlineStr">
        <is>
          <t>BRUT + cotisations patronales</t>
        </is>
      </c>
      <c r="E30" s="43" t="inlineStr"/>
      <c r="F30" s="43" t="inlineStr">
        <is>
          <t>1. Vérifier le coût employeur affiché sur le bulletin</t>
        </is>
      </c>
      <c r="G30" s="43" t="inlineStr">
        <is>
          <t>employer_cost = gross + total_cnps_pat, affiché correctement</t>
        </is>
      </c>
      <c r="H30" s="43" t="inlineStr"/>
      <c r="I30" s="42" t="inlineStr">
        <is>
          <t>⬜ Non exécuté</t>
        </is>
      </c>
      <c r="J30" s="43" t="inlineStr"/>
      <c r="K30" s="43" t="inlineStr"/>
      <c r="L30" s="43" t="inlineStr"/>
      <c r="M30" s="43" t="inlineStr"/>
      <c r="N30" s="43" t="inlineStr"/>
      <c r="O30" s="43" t="inlineStr">
        <is>
          <t>Sprint 1</t>
        </is>
      </c>
      <c r="P30" s="43" t="inlineStr">
        <is>
          <t>Production</t>
        </is>
      </c>
    </row>
  </sheetData>
  <mergeCells count="1">
    <mergeCell ref="A1:P1"/>
  </mergeCells>
  <conditionalFormatting sqref="A3:P30">
    <cfRule type="expression" priority="1" dxfId="0">
      <formula>$I3="✅ Passé"</formula>
    </cfRule>
    <cfRule type="expression" priority="2" dxfId="1">
      <formula>$I3="❌ Échoué"</formula>
    </cfRule>
    <cfRule type="expression" priority="3" dxfId="2">
      <formula>$I3="⚠️ Bloqué"</formula>
    </cfRule>
    <cfRule type="expression" priority="4" dxfId="3">
      <formula>$I3="▶️ En cours"</formula>
    </cfRule>
    <cfRule type="expression" priority="5" dxfId="4">
      <formula>$I3="⬜ Non exécuté"</formula>
    </cfRule>
  </conditionalFormatting>
  <dataValidations count="84">
    <dataValidation sqref="I3" showDropDown="0" showInputMessage="0" showErrorMessage="0" allowBlank="1" type="list">
      <formula1>"✅ Passé,❌ Échoué,⚠️ Bloqué,▶️ En cours,⬜ Non exécuté"</formula1>
    </dataValidation>
    <dataValidation sqref="B3" showDropDown="0" showInputMessage="0" showErrorMessage="0" allowBlank="1" type="list">
      <formula1>"P1 — Critique,P2 — Haute,P3 — Moyenne,P4 — Basse"</formula1>
    </dataValidation>
    <dataValidation sqref="P3" showDropDown="0" showInputMessage="0" showErrorMessage="0" allowBlank="1" type="list">
      <formula1>"Production,Preprod,Local"</formula1>
    </dataValidation>
    <dataValidation sqref="I4" showDropDown="0" showInputMessage="0" showErrorMessage="0" allowBlank="1" type="list">
      <formula1>"✅ Passé,❌ Échoué,⚠️ Bloqué,▶️ En cours,⬜ Non exécuté"</formula1>
    </dataValidation>
    <dataValidation sqref="B4" showDropDown="0" showInputMessage="0" showErrorMessage="0" allowBlank="1" type="list">
      <formula1>"P1 — Critique,P2 — Haute,P3 — Moyenne,P4 — Basse"</formula1>
    </dataValidation>
    <dataValidation sqref="P4" showDropDown="0" showInputMessage="0" showErrorMessage="0" allowBlank="1" type="list">
      <formula1>"Production,Preprod,Local"</formula1>
    </dataValidation>
    <dataValidation sqref="I5" showDropDown="0" showInputMessage="0" showErrorMessage="0" allowBlank="1" type="list">
      <formula1>"✅ Passé,❌ Échoué,⚠️ Bloqué,▶️ En cours,⬜ Non exécuté"</formula1>
    </dataValidation>
    <dataValidation sqref="B5" showDropDown="0" showInputMessage="0" showErrorMessage="0" allowBlank="1" type="list">
      <formula1>"P1 — Critique,P2 — Haute,P3 — Moyenne,P4 — Basse"</formula1>
    </dataValidation>
    <dataValidation sqref="P5" showDropDown="0" showInputMessage="0" showErrorMessage="0" allowBlank="1" type="list">
      <formula1>"Production,Preprod,Local"</formula1>
    </dataValidation>
    <dataValidation sqref="I6" showDropDown="0" showInputMessage="0" showErrorMessage="0" allowBlank="1" type="list">
      <formula1>"✅ Passé,❌ Échoué,⚠️ Bloqué,▶️ En cours,⬜ Non exécuté"</formula1>
    </dataValidation>
    <dataValidation sqref="B6" showDropDown="0" showInputMessage="0" showErrorMessage="0" allowBlank="1" type="list">
      <formula1>"P1 — Critique,P2 — Haute,P3 — Moyenne,P4 — Basse"</formula1>
    </dataValidation>
    <dataValidation sqref="P6" showDropDown="0" showInputMessage="0" showErrorMessage="0" allowBlank="1" type="list">
      <formula1>"Production,Preprod,Local"</formula1>
    </dataValidation>
    <dataValidation sqref="I7" showDropDown="0" showInputMessage="0" showErrorMessage="0" allowBlank="1" type="list">
      <formula1>"✅ Passé,❌ Échoué,⚠️ Bloqué,▶️ En cours,⬜ Non exécuté"</formula1>
    </dataValidation>
    <dataValidation sqref="B7" showDropDown="0" showInputMessage="0" showErrorMessage="0" allowBlank="1" type="list">
      <formula1>"P1 — Critique,P2 — Haute,P3 — Moyenne,P4 — Basse"</formula1>
    </dataValidation>
    <dataValidation sqref="P7" showDropDown="0" showInputMessage="0" showErrorMessage="0" allowBlank="1" type="list">
      <formula1>"Production,Preprod,Local"</formula1>
    </dataValidation>
    <dataValidation sqref="I8" showDropDown="0" showInputMessage="0" showErrorMessage="0" allowBlank="1" type="list">
      <formula1>"✅ Passé,❌ Échoué,⚠️ Bloqué,▶️ En cours,⬜ Non exécuté"</formula1>
    </dataValidation>
    <dataValidation sqref="B8" showDropDown="0" showInputMessage="0" showErrorMessage="0" allowBlank="1" type="list">
      <formula1>"P1 — Critique,P2 — Haute,P3 — Moyenne,P4 — Basse"</formula1>
    </dataValidation>
    <dataValidation sqref="P8" showDropDown="0" showInputMessage="0" showErrorMessage="0" allowBlank="1" type="list">
      <formula1>"Production,Preprod,Local"</formula1>
    </dataValidation>
    <dataValidation sqref="I9" showDropDown="0" showInputMessage="0" showErrorMessage="0" allowBlank="1" type="list">
      <formula1>"✅ Passé,❌ Échoué,⚠️ Bloqué,▶️ En cours,⬜ Non exécuté"</formula1>
    </dataValidation>
    <dataValidation sqref="B9" showDropDown="0" showInputMessage="0" showErrorMessage="0" allowBlank="1" type="list">
      <formula1>"P1 — Critique,P2 — Haute,P3 — Moyenne,P4 — Basse"</formula1>
    </dataValidation>
    <dataValidation sqref="P9" showDropDown="0" showInputMessage="0" showErrorMessage="0" allowBlank="1" type="list">
      <formula1>"Production,Preprod,Local"</formula1>
    </dataValidation>
    <dataValidation sqref="I10" showDropDown="0" showInputMessage="0" showErrorMessage="0" allowBlank="1" type="list">
      <formula1>"✅ Passé,❌ Échoué,⚠️ Bloqué,▶️ En cours,⬜ Non exécuté"</formula1>
    </dataValidation>
    <dataValidation sqref="B10" showDropDown="0" showInputMessage="0" showErrorMessage="0" allowBlank="1" type="list">
      <formula1>"P1 — Critique,P2 — Haute,P3 — Moyenne,P4 — Basse"</formula1>
    </dataValidation>
    <dataValidation sqref="P10" showDropDown="0" showInputMessage="0" showErrorMessage="0" allowBlank="1" type="list">
      <formula1>"Production,Preprod,Local"</formula1>
    </dataValidation>
    <dataValidation sqref="I11" showDropDown="0" showInputMessage="0" showErrorMessage="0" allowBlank="1" type="list">
      <formula1>"✅ Passé,❌ Échoué,⚠️ Bloqué,▶️ En cours,⬜ Non exécuté"</formula1>
    </dataValidation>
    <dataValidation sqref="B11" showDropDown="0" showInputMessage="0" showErrorMessage="0" allowBlank="1" type="list">
      <formula1>"P1 — Critique,P2 — Haute,P3 — Moyenne,P4 — Basse"</formula1>
    </dataValidation>
    <dataValidation sqref="P11" showDropDown="0" showInputMessage="0" showErrorMessage="0" allowBlank="1" type="list">
      <formula1>"Production,Preprod,Local"</formula1>
    </dataValidation>
    <dataValidation sqref="I12" showDropDown="0" showInputMessage="0" showErrorMessage="0" allowBlank="1" type="list">
      <formula1>"✅ Passé,❌ Échoué,⚠️ Bloqué,▶️ En cours,⬜ Non exécuté"</formula1>
    </dataValidation>
    <dataValidation sqref="B12" showDropDown="0" showInputMessage="0" showErrorMessage="0" allowBlank="1" type="list">
      <formula1>"P1 — Critique,P2 — Haute,P3 — Moyenne,P4 — Basse"</formula1>
    </dataValidation>
    <dataValidation sqref="P12" showDropDown="0" showInputMessage="0" showErrorMessage="0" allowBlank="1" type="list">
      <formula1>"Production,Preprod,Local"</formula1>
    </dataValidation>
    <dataValidation sqref="I13" showDropDown="0" showInputMessage="0" showErrorMessage="0" allowBlank="1" type="list">
      <formula1>"✅ Passé,❌ Échoué,⚠️ Bloqué,▶️ En cours,⬜ Non exécuté"</formula1>
    </dataValidation>
    <dataValidation sqref="B13" showDropDown="0" showInputMessage="0" showErrorMessage="0" allowBlank="1" type="list">
      <formula1>"P1 — Critique,P2 — Haute,P3 — Moyenne,P4 — Basse"</formula1>
    </dataValidation>
    <dataValidation sqref="P13" showDropDown="0" showInputMessage="0" showErrorMessage="0" allowBlank="1" type="list">
      <formula1>"Production,Preprod,Local"</formula1>
    </dataValidation>
    <dataValidation sqref="I14" showDropDown="0" showInputMessage="0" showErrorMessage="0" allowBlank="1" type="list">
      <formula1>"✅ Passé,❌ Échoué,⚠️ Bloqué,▶️ En cours,⬜ Non exécuté"</formula1>
    </dataValidation>
    <dataValidation sqref="B14" showDropDown="0" showInputMessage="0" showErrorMessage="0" allowBlank="1" type="list">
      <formula1>"P1 — Critique,P2 — Haute,P3 — Moyenne,P4 — Basse"</formula1>
    </dataValidation>
    <dataValidation sqref="P14" showDropDown="0" showInputMessage="0" showErrorMessage="0" allowBlank="1" type="list">
      <formula1>"Production,Preprod,Local"</formula1>
    </dataValidation>
    <dataValidation sqref="I15" showDropDown="0" showInputMessage="0" showErrorMessage="0" allowBlank="1" type="list">
      <formula1>"✅ Passé,❌ Échoué,⚠️ Bloqué,▶️ En cours,⬜ Non exécuté"</formula1>
    </dataValidation>
    <dataValidation sqref="B15" showDropDown="0" showInputMessage="0" showErrorMessage="0" allowBlank="1" type="list">
      <formula1>"P1 — Critique,P2 — Haute,P3 — Moyenne,P4 — Basse"</formula1>
    </dataValidation>
    <dataValidation sqref="P15" showDropDown="0" showInputMessage="0" showErrorMessage="0" allowBlank="1" type="list">
      <formula1>"Production,Preprod,Local"</formula1>
    </dataValidation>
    <dataValidation sqref="I16" showDropDown="0" showInputMessage="0" showErrorMessage="0" allowBlank="1" type="list">
      <formula1>"✅ Passé,❌ Échoué,⚠️ Bloqué,▶️ En cours,⬜ Non exécuté"</formula1>
    </dataValidation>
    <dataValidation sqref="B16" showDropDown="0" showInputMessage="0" showErrorMessage="0" allowBlank="1" type="list">
      <formula1>"P1 — Critique,P2 — Haute,P3 — Moyenne,P4 — Basse"</formula1>
    </dataValidation>
    <dataValidation sqref="P16" showDropDown="0" showInputMessage="0" showErrorMessage="0" allowBlank="1" type="list">
      <formula1>"Production,Preprod,Local"</formula1>
    </dataValidation>
    <dataValidation sqref="I17" showDropDown="0" showInputMessage="0" showErrorMessage="0" allowBlank="1" type="list">
      <formula1>"✅ Passé,❌ Échoué,⚠️ Bloqué,▶️ En cours,⬜ Non exécuté"</formula1>
    </dataValidation>
    <dataValidation sqref="B17" showDropDown="0" showInputMessage="0" showErrorMessage="0" allowBlank="1" type="list">
      <formula1>"P1 — Critique,P2 — Haute,P3 — Moyenne,P4 — Basse"</formula1>
    </dataValidation>
    <dataValidation sqref="P17" showDropDown="0" showInputMessage="0" showErrorMessage="0" allowBlank="1" type="list">
      <formula1>"Production,Preprod,Local"</formula1>
    </dataValidation>
    <dataValidation sqref="I18" showDropDown="0" showInputMessage="0" showErrorMessage="0" allowBlank="1" type="list">
      <formula1>"✅ Passé,❌ Échoué,⚠️ Bloqué,▶️ En cours,⬜ Non exécuté"</formula1>
    </dataValidation>
    <dataValidation sqref="B18" showDropDown="0" showInputMessage="0" showErrorMessage="0" allowBlank="1" type="list">
      <formula1>"P1 — Critique,P2 — Haute,P3 — Moyenne,P4 — Basse"</formula1>
    </dataValidation>
    <dataValidation sqref="P18" showDropDown="0" showInputMessage="0" showErrorMessage="0" allowBlank="1" type="list">
      <formula1>"Production,Preprod,Local"</formula1>
    </dataValidation>
    <dataValidation sqref="I19" showDropDown="0" showInputMessage="0" showErrorMessage="0" allowBlank="1" type="list">
      <formula1>"✅ Passé,❌ Échoué,⚠️ Bloqué,▶️ En cours,⬜ Non exécuté"</formula1>
    </dataValidation>
    <dataValidation sqref="B19" showDropDown="0" showInputMessage="0" showErrorMessage="0" allowBlank="1" type="list">
      <formula1>"P1 — Critique,P2 — Haute,P3 — Moyenne,P4 — Basse"</formula1>
    </dataValidation>
    <dataValidation sqref="P19" showDropDown="0" showInputMessage="0" showErrorMessage="0" allowBlank="1" type="list">
      <formula1>"Production,Preprod,Local"</formula1>
    </dataValidation>
    <dataValidation sqref="I20" showDropDown="0" showInputMessage="0" showErrorMessage="0" allowBlank="1" type="list">
      <formula1>"✅ Passé,❌ Échoué,⚠️ Bloqué,▶️ En cours,⬜ Non exécuté"</formula1>
    </dataValidation>
    <dataValidation sqref="B20" showDropDown="0" showInputMessage="0" showErrorMessage="0" allowBlank="1" type="list">
      <formula1>"P1 — Critique,P2 — Haute,P3 — Moyenne,P4 — Basse"</formula1>
    </dataValidation>
    <dataValidation sqref="P20" showDropDown="0" showInputMessage="0" showErrorMessage="0" allowBlank="1" type="list">
      <formula1>"Production,Preprod,Local"</formula1>
    </dataValidation>
    <dataValidation sqref="I21" showDropDown="0" showInputMessage="0" showErrorMessage="0" allowBlank="1" type="list">
      <formula1>"✅ Passé,❌ Échoué,⚠️ Bloqué,▶️ En cours,⬜ Non exécuté"</formula1>
    </dataValidation>
    <dataValidation sqref="B21" showDropDown="0" showInputMessage="0" showErrorMessage="0" allowBlank="1" type="list">
      <formula1>"P1 — Critique,P2 — Haute,P3 — Moyenne,P4 — Basse"</formula1>
    </dataValidation>
    <dataValidation sqref="P21" showDropDown="0" showInputMessage="0" showErrorMessage="0" allowBlank="1" type="list">
      <formula1>"Production,Preprod,Local"</formula1>
    </dataValidation>
    <dataValidation sqref="I22" showDropDown="0" showInputMessage="0" showErrorMessage="0" allowBlank="1" type="list">
      <formula1>"✅ Passé,❌ Échoué,⚠️ Bloqué,▶️ En cours,⬜ Non exécuté"</formula1>
    </dataValidation>
    <dataValidation sqref="B22" showDropDown="0" showInputMessage="0" showErrorMessage="0" allowBlank="1" type="list">
      <formula1>"P1 — Critique,P2 — Haute,P3 — Moyenne,P4 — Basse"</formula1>
    </dataValidation>
    <dataValidation sqref="P22" showDropDown="0" showInputMessage="0" showErrorMessage="0" allowBlank="1" type="list">
      <formula1>"Production,Preprod,Local"</formula1>
    </dataValidation>
    <dataValidation sqref="I23" showDropDown="0" showInputMessage="0" showErrorMessage="0" allowBlank="1" type="list">
      <formula1>"✅ Passé,❌ Échoué,⚠️ Bloqué,▶️ En cours,⬜ Non exécuté"</formula1>
    </dataValidation>
    <dataValidation sqref="B23" showDropDown="0" showInputMessage="0" showErrorMessage="0" allowBlank="1" type="list">
      <formula1>"P1 — Critique,P2 — Haute,P3 — Moyenne,P4 — Basse"</formula1>
    </dataValidation>
    <dataValidation sqref="P23" showDropDown="0" showInputMessage="0" showErrorMessage="0" allowBlank="1" type="list">
      <formula1>"Production,Preprod,Local"</formula1>
    </dataValidation>
    <dataValidation sqref="I24" showDropDown="0" showInputMessage="0" showErrorMessage="0" allowBlank="1" type="list">
      <formula1>"✅ Passé,❌ Échoué,⚠️ Bloqué,▶️ En cours,⬜ Non exécuté"</formula1>
    </dataValidation>
    <dataValidation sqref="B24" showDropDown="0" showInputMessage="0" showErrorMessage="0" allowBlank="1" type="list">
      <formula1>"P1 — Critique,P2 — Haute,P3 — Moyenne,P4 — Basse"</formula1>
    </dataValidation>
    <dataValidation sqref="P24" showDropDown="0" showInputMessage="0" showErrorMessage="0" allowBlank="1" type="list">
      <formula1>"Production,Preprod,Local"</formula1>
    </dataValidation>
    <dataValidation sqref="I25" showDropDown="0" showInputMessage="0" showErrorMessage="0" allowBlank="1" type="list">
      <formula1>"✅ Passé,❌ Échoué,⚠️ Bloqué,▶️ En cours,⬜ Non exécuté"</formula1>
    </dataValidation>
    <dataValidation sqref="B25" showDropDown="0" showInputMessage="0" showErrorMessage="0" allowBlank="1" type="list">
      <formula1>"P1 — Critique,P2 — Haute,P3 — Moyenne,P4 — Basse"</formula1>
    </dataValidation>
    <dataValidation sqref="P25" showDropDown="0" showInputMessage="0" showErrorMessage="0" allowBlank="1" type="list">
      <formula1>"Production,Preprod,Local"</formula1>
    </dataValidation>
    <dataValidation sqref="I26" showDropDown="0" showInputMessage="0" showErrorMessage="0" allowBlank="1" type="list">
      <formula1>"✅ Passé,❌ Échoué,⚠️ Bloqué,▶️ En cours,⬜ Non exécuté"</formula1>
    </dataValidation>
    <dataValidation sqref="B26" showDropDown="0" showInputMessage="0" showErrorMessage="0" allowBlank="1" type="list">
      <formula1>"P1 — Critique,P2 — Haute,P3 — Moyenne,P4 — Basse"</formula1>
    </dataValidation>
    <dataValidation sqref="P26" showDropDown="0" showInputMessage="0" showErrorMessage="0" allowBlank="1" type="list">
      <formula1>"Production,Preprod,Local"</formula1>
    </dataValidation>
    <dataValidation sqref="I27" showDropDown="0" showInputMessage="0" showErrorMessage="0" allowBlank="1" type="list">
      <formula1>"✅ Passé,❌ Échoué,⚠️ Bloqué,▶️ En cours,⬜ Non exécuté"</formula1>
    </dataValidation>
    <dataValidation sqref="B27" showDropDown="0" showInputMessage="0" showErrorMessage="0" allowBlank="1" type="list">
      <formula1>"P1 — Critique,P2 — Haute,P3 — Moyenne,P4 — Basse"</formula1>
    </dataValidation>
    <dataValidation sqref="P27" showDropDown="0" showInputMessage="0" showErrorMessage="0" allowBlank="1" type="list">
      <formula1>"Production,Preprod,Local"</formula1>
    </dataValidation>
    <dataValidation sqref="I28" showDropDown="0" showInputMessage="0" showErrorMessage="0" allowBlank="1" type="list">
      <formula1>"✅ Passé,❌ Échoué,⚠️ Bloqué,▶️ En cours,⬜ Non exécuté"</formula1>
    </dataValidation>
    <dataValidation sqref="B28" showDropDown="0" showInputMessage="0" showErrorMessage="0" allowBlank="1" type="list">
      <formula1>"P1 — Critique,P2 — Haute,P3 — Moyenne,P4 — Basse"</formula1>
    </dataValidation>
    <dataValidation sqref="P28" showDropDown="0" showInputMessage="0" showErrorMessage="0" allowBlank="1" type="list">
      <formula1>"Production,Preprod,Local"</formula1>
    </dataValidation>
    <dataValidation sqref="I29" showDropDown="0" showInputMessage="0" showErrorMessage="0" allowBlank="1" type="list">
      <formula1>"✅ Passé,❌ Échoué,⚠️ Bloqué,▶️ En cours,⬜ Non exécuté"</formula1>
    </dataValidation>
    <dataValidation sqref="B29" showDropDown="0" showInputMessage="0" showErrorMessage="0" allowBlank="1" type="list">
      <formula1>"P1 — Critique,P2 — Haute,P3 — Moyenne,P4 — Basse"</formula1>
    </dataValidation>
    <dataValidation sqref="P29" showDropDown="0" showInputMessage="0" showErrorMessage="0" allowBlank="1" type="list">
      <formula1>"Production,Preprod,Local"</formula1>
    </dataValidation>
    <dataValidation sqref="I30" showDropDown="0" showInputMessage="0" showErrorMessage="0" allowBlank="1" type="list">
      <formula1>"✅ Passé,❌ Échoué,⚠️ Bloqué,▶️ En cours,⬜ Non exécuté"</formula1>
    </dataValidation>
    <dataValidation sqref="B30" showDropDown="0" showInputMessage="0" showErrorMessage="0" allowBlank="1" type="list">
      <formula1>"P1 — Critique,P2 — Haute,P3 — Moyenne,P4 — Basse"</formula1>
    </dataValidation>
    <dataValidation sqref="P30" showDropDown="0" showInputMessage="0" showErrorMessage="0" allowBlank="1" type="list">
      <formula1>"Production,Preprod,Local"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P1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38" customWidth="1" min="3" max="3"/>
    <col width="32" customWidth="1" min="4" max="4"/>
    <col width="30" customWidth="1" min="5" max="5"/>
    <col width="40" customWidth="1" min="6" max="6"/>
    <col width="38" customWidth="1" min="7" max="7"/>
    <col width="38" customWidth="1" min="8" max="8"/>
    <col width="18" customWidth="1" min="9" max="9"/>
    <col width="16" customWidth="1" min="10" max="10"/>
    <col width="13" customWidth="1" min="11" max="11"/>
    <col width="12" customWidth="1" min="12" max="12"/>
    <col width="24" customWidth="1" min="13" max="13"/>
    <col width="36" customWidth="1" min="14" max="14"/>
    <col width="10" customWidth="1" min="15" max="15"/>
    <col width="12" customWidth="1" min="16" max="16"/>
  </cols>
  <sheetData>
    <row r="1" ht="26" customHeight="1">
      <c r="A1" s="52" t="inlineStr">
        <is>
          <t xml:space="preserve">  GESTION DES ABSENCES  ·  16 scénarios</t>
        </is>
      </c>
    </row>
    <row r="2" ht="22" customHeight="1">
      <c r="A2" s="39" t="inlineStr">
        <is>
          <t>ID Test</t>
        </is>
      </c>
      <c r="B2" s="39" t="inlineStr">
        <is>
          <t>Priorité</t>
        </is>
      </c>
      <c r="C2" s="39" t="inlineStr">
        <is>
          <t>Titre du scénario</t>
        </is>
      </c>
      <c r="D2" s="39" t="inlineStr">
        <is>
          <t>Description / Contexte</t>
        </is>
      </c>
      <c r="E2" s="39" t="inlineStr">
        <is>
          <t>Prérequis / Données</t>
        </is>
      </c>
      <c r="F2" s="39" t="inlineStr">
        <is>
          <t>Étapes détaillées</t>
        </is>
      </c>
      <c r="G2" s="39" t="inlineStr">
        <is>
          <t>Résultat attendu</t>
        </is>
      </c>
      <c r="H2" s="39" t="inlineStr">
        <is>
          <t>Résultat obtenu</t>
        </is>
      </c>
      <c r="I2" s="39" t="inlineStr">
        <is>
          <t>Statut</t>
        </is>
      </c>
      <c r="J2" s="39" t="inlineStr">
        <is>
          <t>Testeur</t>
        </is>
      </c>
      <c r="K2" s="39" t="inlineStr">
        <is>
          <t>Date test</t>
        </is>
      </c>
      <c r="L2" s="39" t="inlineStr">
        <is>
          <t>Durée (min)</t>
        </is>
      </c>
      <c r="M2" s="39" t="inlineStr">
        <is>
          <t>Ticket / Requalification</t>
        </is>
      </c>
      <c r="N2" s="39" t="inlineStr">
        <is>
          <t>Commentaire / Amélioration</t>
        </is>
      </c>
      <c r="O2" s="39" t="inlineStr">
        <is>
          <t>Sprint</t>
        </is>
      </c>
      <c r="P2" s="39" t="inlineStr">
        <is>
          <t>Env.</t>
        </is>
      </c>
    </row>
    <row r="3" ht="58" customHeight="1">
      <c r="A3" s="53" t="inlineStr">
        <is>
          <t>ABS-001</t>
        </is>
      </c>
      <c r="B3" s="40" t="inlineStr">
        <is>
          <t>P1 — Critique</t>
        </is>
      </c>
      <c r="C3" s="41" t="inlineStr">
        <is>
          <t>Soldes congés affichés — /mon-espace/absences</t>
        </is>
      </c>
      <c r="D3" s="41" t="inlineStr">
        <is>
          <t>2.5 jours ouvrables/mois CI</t>
        </is>
      </c>
      <c r="E3" s="41" t="inlineStr">
        <is>
          <t>employe@sotra.ci connecté</t>
        </is>
      </c>
      <c r="F3" s="41" t="inlineStr">
        <is>
          <t>1. /mon-espace/absences
2. Observer les barres de soldes</t>
        </is>
      </c>
      <c r="G3" s="41" t="inlineStr">
        <is>
          <t>CP affiché avec acquired, taken, remaining. Barres de progression colorées</t>
        </is>
      </c>
      <c r="H3" s="41" t="inlineStr"/>
      <c r="I3" s="42" t="inlineStr">
        <is>
          <t>⬜ Non exécuté</t>
        </is>
      </c>
      <c r="J3" s="41" t="inlineStr"/>
      <c r="K3" s="41" t="inlineStr"/>
      <c r="L3" s="41" t="inlineStr"/>
      <c r="M3" s="41" t="inlineStr"/>
      <c r="N3" s="41" t="inlineStr"/>
      <c r="O3" s="41" t="inlineStr">
        <is>
          <t>Sprint 1</t>
        </is>
      </c>
      <c r="P3" s="41" t="inlineStr">
        <is>
          <t>Production</t>
        </is>
      </c>
    </row>
    <row r="4" ht="58" customHeight="1">
      <c r="A4" s="53" t="inlineStr">
        <is>
          <t>ABS-002</t>
        </is>
      </c>
      <c r="B4" s="40" t="inlineStr">
        <is>
          <t>P1 — Critique</t>
        </is>
      </c>
      <c r="C4" s="43" t="inlineStr">
        <is>
          <t>Nouvelle demande absence — formulaire complet</t>
        </is>
      </c>
      <c r="D4" s="43" t="inlineStr"/>
      <c r="E4" s="43" t="inlineStr"/>
      <c r="F4" s="43" t="inlineStr">
        <is>
          <t>1. Bouton '+ Demander une absence'
2. Type: CP, dates, motif
3. Soumettre</t>
        </is>
      </c>
      <c r="G4" s="43" t="inlineStr">
        <is>
          <t>Demande créée statut 'pending', notification envoyée au manager</t>
        </is>
      </c>
      <c r="H4" s="43" t="inlineStr"/>
      <c r="I4" s="42" t="inlineStr">
        <is>
          <t>⬜ Non exécuté</t>
        </is>
      </c>
      <c r="J4" s="43" t="inlineStr"/>
      <c r="K4" s="43" t="inlineStr"/>
      <c r="L4" s="43" t="inlineStr"/>
      <c r="M4" s="43" t="inlineStr"/>
      <c r="N4" s="43" t="inlineStr"/>
      <c r="O4" s="43" t="inlineStr">
        <is>
          <t>Sprint 1</t>
        </is>
      </c>
      <c r="P4" s="43" t="inlineStr">
        <is>
          <t>Production</t>
        </is>
      </c>
    </row>
    <row r="5" ht="58" customHeight="1">
      <c r="A5" s="53" t="inlineStr">
        <is>
          <t>ABS-003</t>
        </is>
      </c>
      <c r="B5" s="44" t="inlineStr">
        <is>
          <t>P2 — Haute</t>
        </is>
      </c>
      <c r="C5" s="41" t="inlineStr">
        <is>
          <t>Validation dates — début &lt; fin</t>
        </is>
      </c>
      <c r="D5" s="41" t="inlineStr"/>
      <c r="E5" s="41" t="inlineStr"/>
      <c r="F5" s="41" t="inlineStr">
        <is>
          <t>1. Saisir date début &gt; date fin
2. Soumettre</t>
        </is>
      </c>
      <c r="G5" s="41" t="inlineStr">
        <is>
          <t>Erreur Zod côté client + validation serveur, demande non créée</t>
        </is>
      </c>
      <c r="H5" s="41" t="inlineStr"/>
      <c r="I5" s="42" t="inlineStr">
        <is>
          <t>⬜ Non exécuté</t>
        </is>
      </c>
      <c r="J5" s="41" t="inlineStr"/>
      <c r="K5" s="41" t="inlineStr"/>
      <c r="L5" s="41" t="inlineStr"/>
      <c r="M5" s="41" t="inlineStr"/>
      <c r="N5" s="41" t="inlineStr"/>
      <c r="O5" s="41" t="inlineStr">
        <is>
          <t>Sprint 1</t>
        </is>
      </c>
      <c r="P5" s="41" t="inlineStr">
        <is>
          <t>Production</t>
        </is>
      </c>
    </row>
    <row r="6" ht="58" customHeight="1">
      <c r="A6" s="53" t="inlineStr">
        <is>
          <t>ABS-004</t>
        </is>
      </c>
      <c r="B6" s="40" t="inlineStr">
        <is>
          <t>P1 — Critique</t>
        </is>
      </c>
      <c r="C6" s="43" t="inlineStr">
        <is>
          <t>Workflow approbation — manager approve</t>
        </is>
      </c>
      <c r="D6" s="43" t="inlineStr"/>
      <c r="E6" s="43" t="inlineStr">
        <is>
          <t>Demande pending + manager connecté</t>
        </is>
      </c>
      <c r="F6" s="43" t="inlineStr">
        <is>
          <t>1. Connecter manager
2. Voir demandes à valider
3. Approuver</t>
        </is>
      </c>
      <c r="G6" s="43" t="inlineStr">
        <is>
          <t>Statut → 'approved', solde CP décompté, notification employé</t>
        </is>
      </c>
      <c r="H6" s="43" t="inlineStr"/>
      <c r="I6" s="42" t="inlineStr">
        <is>
          <t>⬜ Non exécuté</t>
        </is>
      </c>
      <c r="J6" s="43" t="inlineStr"/>
      <c r="K6" s="43" t="inlineStr"/>
      <c r="L6" s="43" t="inlineStr"/>
      <c r="M6" s="43" t="inlineStr"/>
      <c r="N6" s="43" t="inlineStr"/>
      <c r="O6" s="43" t="inlineStr">
        <is>
          <t>Sprint 1</t>
        </is>
      </c>
      <c r="P6" s="43" t="inlineStr">
        <is>
          <t>Production</t>
        </is>
      </c>
    </row>
    <row r="7" ht="58" customHeight="1">
      <c r="A7" s="53" t="inlineStr">
        <is>
          <t>ABS-005</t>
        </is>
      </c>
      <c r="B7" s="44" t="inlineStr">
        <is>
          <t>P2 — Haute</t>
        </is>
      </c>
      <c r="C7" s="41" t="inlineStr">
        <is>
          <t>Workflow — manager refuse</t>
        </is>
      </c>
      <c r="D7" s="41" t="inlineStr"/>
      <c r="E7" s="41" t="inlineStr"/>
      <c r="F7" s="41" t="inlineStr">
        <is>
          <t>1. Manager refuse une demande
2. Motif de refus saisi</t>
        </is>
      </c>
      <c r="G7" s="41" t="inlineStr">
        <is>
          <t>Statut → 'rejected', solde non décompté, notification employé avec motif</t>
        </is>
      </c>
      <c r="H7" s="41" t="inlineStr"/>
      <c r="I7" s="42" t="inlineStr">
        <is>
          <t>⬜ Non exécuté</t>
        </is>
      </c>
      <c r="J7" s="41" t="inlineStr"/>
      <c r="K7" s="41" t="inlineStr"/>
      <c r="L7" s="41" t="inlineStr"/>
      <c r="M7" s="41" t="inlineStr"/>
      <c r="N7" s="41" t="inlineStr"/>
      <c r="O7" s="41" t="inlineStr">
        <is>
          <t>Sprint 1</t>
        </is>
      </c>
      <c r="P7" s="41" t="inlineStr">
        <is>
          <t>Production</t>
        </is>
      </c>
    </row>
    <row r="8" ht="58" customHeight="1">
      <c r="A8" s="53" t="inlineStr">
        <is>
          <t>ABS-006</t>
        </is>
      </c>
      <c r="B8" s="44" t="inlineStr">
        <is>
          <t>P2 — Haute</t>
        </is>
      </c>
      <c r="C8" s="43" t="inlineStr">
        <is>
          <t>Annulation demande pending par l'employé</t>
        </is>
      </c>
      <c r="D8" s="43" t="inlineStr"/>
      <c r="E8" s="43" t="inlineStr">
        <is>
          <t>Demande en statut pending</t>
        </is>
      </c>
      <c r="F8" s="43" t="inlineStr">
        <is>
          <t>1. Employé → liste absences → Annuler</t>
        </is>
      </c>
      <c r="G8" s="43" t="inlineStr">
        <is>
          <t>Demande supprimée ou statut cancelled, solde inchangé</t>
        </is>
      </c>
      <c r="H8" s="43" t="inlineStr"/>
      <c r="I8" s="42" t="inlineStr">
        <is>
          <t>⬜ Non exécuté</t>
        </is>
      </c>
      <c r="J8" s="43" t="inlineStr"/>
      <c r="K8" s="43" t="inlineStr"/>
      <c r="L8" s="43" t="inlineStr"/>
      <c r="M8" s="43" t="inlineStr"/>
      <c r="N8" s="43" t="inlineStr"/>
      <c r="O8" s="43" t="inlineStr">
        <is>
          <t>Sprint 1</t>
        </is>
      </c>
      <c r="P8" s="43" t="inlineStr">
        <is>
          <t>Production</t>
        </is>
      </c>
    </row>
    <row r="9" ht="58" customHeight="1">
      <c r="A9" s="53" t="inlineStr">
        <is>
          <t>ABS-007</t>
        </is>
      </c>
      <c r="B9" s="40" t="inlineStr">
        <is>
          <t>P1 — Critique</t>
        </is>
      </c>
      <c r="C9" s="41" t="inlineStr">
        <is>
          <t>Calcul en jours ouvrables (lundi→samedi CI)</t>
        </is>
      </c>
      <c r="D9" s="41" t="inlineStr">
        <is>
          <t>Pas les jours calendaires</t>
        </is>
      </c>
      <c r="E9" s="41" t="inlineStr"/>
      <c r="F9" s="41" t="inlineStr">
        <is>
          <t>1. Saisir du lundi au vendredi suivant (5j)
2. Vérifier décompte</t>
        </is>
      </c>
      <c r="G9" s="41" t="inlineStr">
        <is>
          <t>5 jours ouvrables décomptés (samedi inclus si travaillé)</t>
        </is>
      </c>
      <c r="H9" s="41" t="inlineStr"/>
      <c r="I9" s="42" t="inlineStr">
        <is>
          <t>⬜ Non exécuté</t>
        </is>
      </c>
      <c r="J9" s="41" t="inlineStr"/>
      <c r="K9" s="41" t="inlineStr"/>
      <c r="L9" s="41" t="inlineStr"/>
      <c r="M9" s="41" t="inlineStr"/>
      <c r="N9" s="41" t="inlineStr"/>
      <c r="O9" s="41" t="inlineStr">
        <is>
          <t>Sprint 1</t>
        </is>
      </c>
      <c r="P9" s="41" t="inlineStr">
        <is>
          <t>Production</t>
        </is>
      </c>
    </row>
    <row r="10" ht="58" customHeight="1">
      <c r="A10" s="53" t="inlineStr">
        <is>
          <t>ABS-008</t>
        </is>
      </c>
      <c r="B10" s="44" t="inlineStr">
        <is>
          <t>P2 — Haute</t>
        </is>
      </c>
      <c r="C10" s="43" t="inlineStr">
        <is>
          <t>Jours fériés CI exclus du calcul</t>
        </is>
      </c>
      <c r="D10" s="43" t="inlineStr">
        <is>
          <t>Si absence couvre un jour férié CI</t>
        </is>
      </c>
      <c r="E10" s="43" t="inlineStr">
        <is>
          <t>Table jours fériés CI 2024/2025 en base</t>
        </is>
      </c>
      <c r="F10" s="43" t="inlineStr">
        <is>
          <t>1. Absence couvrant le 07 août 2025 (Fête Nationale)
2. Vérifier décompte</t>
        </is>
      </c>
      <c r="G10" s="43" t="inlineStr">
        <is>
          <t>Jour férié non compté dans les jours d'absence</t>
        </is>
      </c>
      <c r="H10" s="43" t="inlineStr"/>
      <c r="I10" s="42" t="inlineStr">
        <is>
          <t>⬜ Non exécuté</t>
        </is>
      </c>
      <c r="J10" s="43" t="inlineStr"/>
      <c r="K10" s="43" t="inlineStr"/>
      <c r="L10" s="43" t="inlineStr"/>
      <c r="M10" s="43" t="inlineStr"/>
      <c r="N10" s="43" t="inlineStr"/>
      <c r="O10" s="43" t="inlineStr">
        <is>
          <t>Sprint 1</t>
        </is>
      </c>
      <c r="P10" s="43" t="inlineStr">
        <is>
          <t>Production</t>
        </is>
      </c>
    </row>
    <row r="11" ht="58" customHeight="1">
      <c r="A11" s="53" t="inlineStr">
        <is>
          <t>ABS-009</t>
        </is>
      </c>
      <c r="B11" s="44" t="inlineStr">
        <is>
          <t>P2 — Haute</t>
        </is>
      </c>
      <c r="C11" s="41" t="inlineStr">
        <is>
          <t>Demi-journée toggle</t>
        </is>
      </c>
      <c r="D11" s="41" t="inlineStr">
        <is>
          <t>Absence de demi-journée = 0.5 jour</t>
        </is>
      </c>
      <c r="E11" s="41" t="inlineStr"/>
      <c r="F11" s="41" t="inlineStr">
        <is>
          <t>1. Cocher 'demi-journée'
2. Sélectionner date
3. Soumettre</t>
        </is>
      </c>
      <c r="G11" s="41" t="inlineStr">
        <is>
          <t>0.5 jour décompté du solde</t>
        </is>
      </c>
      <c r="H11" s="41" t="inlineStr"/>
      <c r="I11" s="42" t="inlineStr">
        <is>
          <t>⬜ Non exécuté</t>
        </is>
      </c>
      <c r="J11" s="41" t="inlineStr"/>
      <c r="K11" s="41" t="inlineStr"/>
      <c r="L11" s="41" t="inlineStr"/>
      <c r="M11" s="41" t="inlineStr"/>
      <c r="N11" s="41" t="inlineStr"/>
      <c r="O11" s="41" t="inlineStr">
        <is>
          <t>Sprint 1</t>
        </is>
      </c>
      <c r="P11" s="41" t="inlineStr">
        <is>
          <t>Production</t>
        </is>
      </c>
    </row>
    <row r="12" ht="58" customHeight="1">
      <c r="A12" s="53" t="inlineStr">
        <is>
          <t>ABS-010</t>
        </is>
      </c>
      <c r="B12" s="40" t="inlineStr">
        <is>
          <t>P1 — Critique</t>
        </is>
      </c>
      <c r="C12" s="43" t="inlineStr">
        <is>
          <t>Historique absences employé — statuts colorés</t>
        </is>
      </c>
      <c r="D12" s="43" t="inlineStr">
        <is>
          <t>Badge couleur selon statut</t>
        </is>
      </c>
      <c r="E12" s="43" t="inlineStr"/>
      <c r="F12" s="43" t="inlineStr">
        <is>
          <t>1. /mon-espace/absences → liste historique</t>
        </is>
      </c>
      <c r="G12" s="43" t="inlineStr">
        <is>
          <t>pending=orange, approved=vert, rejected=rouge</t>
        </is>
      </c>
      <c r="H12" s="43" t="inlineStr"/>
      <c r="I12" s="42" t="inlineStr">
        <is>
          <t>⬜ Non exécuté</t>
        </is>
      </c>
      <c r="J12" s="43" t="inlineStr"/>
      <c r="K12" s="43" t="inlineStr"/>
      <c r="L12" s="43" t="inlineStr"/>
      <c r="M12" s="43" t="inlineStr"/>
      <c r="N12" s="43" t="inlineStr"/>
      <c r="O12" s="43" t="inlineStr">
        <is>
          <t>Sprint 1</t>
        </is>
      </c>
      <c r="P12" s="43" t="inlineStr">
        <is>
          <t>Production</t>
        </is>
      </c>
    </row>
    <row r="13" ht="58" customHeight="1">
      <c r="A13" s="53" t="inlineStr">
        <is>
          <t>ABS-011</t>
        </is>
      </c>
      <c r="B13" s="40" t="inlineStr">
        <is>
          <t>P1 — Critique</t>
        </is>
      </c>
      <c r="C13" s="41" t="inlineStr">
        <is>
          <t>Admin voit toutes les absences de tous les employés</t>
        </is>
      </c>
      <c r="D13" s="41" t="inlineStr"/>
      <c r="E13" s="41" t="inlineStr">
        <is>
          <t>Admin connecté</t>
        </is>
      </c>
      <c r="F13" s="41" t="inlineStr">
        <is>
          <t>1. /absences (vue admin)</t>
        </is>
      </c>
      <c r="G13" s="41" t="inlineStr">
        <is>
          <t>Toutes les absences du tenant, filtrables par employé/type/période</t>
        </is>
      </c>
      <c r="H13" s="41" t="inlineStr"/>
      <c r="I13" s="42" t="inlineStr">
        <is>
          <t>⬜ Non exécuté</t>
        </is>
      </c>
      <c r="J13" s="41" t="inlineStr"/>
      <c r="K13" s="41" t="inlineStr"/>
      <c r="L13" s="41" t="inlineStr"/>
      <c r="M13" s="41" t="inlineStr"/>
      <c r="N13" s="41" t="inlineStr"/>
      <c r="O13" s="41" t="inlineStr">
        <is>
          <t>Sprint 1</t>
        </is>
      </c>
      <c r="P13" s="41" t="inlineStr">
        <is>
          <t>Production</t>
        </is>
      </c>
    </row>
    <row r="14" ht="58" customHeight="1">
      <c r="A14" s="53" t="inlineStr">
        <is>
          <t>ABS-012</t>
        </is>
      </c>
      <c r="B14" s="44" t="inlineStr">
        <is>
          <t>P2 — Haute</t>
        </is>
      </c>
      <c r="C14" s="43" t="inlineStr">
        <is>
          <t>Manager voit absences de son équipe seulement</t>
        </is>
      </c>
      <c r="D14" s="43" t="inlineStr"/>
      <c r="E14" s="43" t="inlineStr">
        <is>
          <t>Manager connecté</t>
        </is>
      </c>
      <c r="F14" s="43" t="inlineStr">
        <is>
          <t>1. /absences (vue manager)</t>
        </is>
      </c>
      <c r="G14" s="43" t="inlineStr">
        <is>
          <t>Filtrée au département du manager, pas les autres équipes</t>
        </is>
      </c>
      <c r="H14" s="43" t="inlineStr"/>
      <c r="I14" s="42" t="inlineStr">
        <is>
          <t>⬜ Non exécuté</t>
        </is>
      </c>
      <c r="J14" s="43" t="inlineStr"/>
      <c r="K14" s="43" t="inlineStr"/>
      <c r="L14" s="43" t="inlineStr"/>
      <c r="M14" s="43" t="inlineStr"/>
      <c r="N14" s="43" t="inlineStr"/>
      <c r="O14" s="43" t="inlineStr">
        <is>
          <t>Sprint 1</t>
        </is>
      </c>
      <c r="P14" s="43" t="inlineStr">
        <is>
          <t>Production</t>
        </is>
      </c>
    </row>
    <row r="15" ht="58" customHeight="1">
      <c r="A15" s="53" t="inlineStr">
        <is>
          <t>ABS-013</t>
        </is>
      </c>
      <c r="B15" s="40" t="inlineStr">
        <is>
          <t>P1 — Critique</t>
        </is>
      </c>
      <c r="C15" s="41" t="inlineStr">
        <is>
          <t>Employee voit ses propres absences seulement</t>
        </is>
      </c>
      <c r="D15" s="41" t="inlineStr"/>
      <c r="E15" s="41" t="inlineStr">
        <is>
          <t>employe@sotra.ci</t>
        </is>
      </c>
      <c r="F15" s="41" t="inlineStr">
        <is>
          <t>1. /mon-espace/absences</t>
        </is>
      </c>
      <c r="G15" s="41" t="inlineStr">
        <is>
          <t>Uniquement les absences de l'employé connecté</t>
        </is>
      </c>
      <c r="H15" s="41" t="inlineStr"/>
      <c r="I15" s="42" t="inlineStr">
        <is>
          <t>⬜ Non exécuté</t>
        </is>
      </c>
      <c r="J15" s="41" t="inlineStr"/>
      <c r="K15" s="41" t="inlineStr"/>
      <c r="L15" s="41" t="inlineStr"/>
      <c r="M15" s="41" t="inlineStr"/>
      <c r="N15" s="41" t="inlineStr"/>
      <c r="O15" s="41" t="inlineStr">
        <is>
          <t>Sprint 1</t>
        </is>
      </c>
      <c r="P15" s="41" t="inlineStr">
        <is>
          <t>Production</t>
        </is>
      </c>
    </row>
    <row r="16" ht="58" customHeight="1">
      <c r="A16" s="53" t="inlineStr">
        <is>
          <t>ABS-014</t>
        </is>
      </c>
      <c r="B16" s="44" t="inlineStr">
        <is>
          <t>P2 — Haute</t>
        </is>
      </c>
      <c r="C16" s="43" t="inlineStr">
        <is>
          <t>Planification calendrier — absences colorées</t>
        </is>
      </c>
      <c r="D16" s="43" t="inlineStr"/>
      <c r="E16" s="43" t="inlineStr"/>
      <c r="F16" s="43" t="inlineStr">
        <is>
          <t>1. Onglet Calendrier
2. Observer le mois en cours</t>
        </is>
      </c>
      <c r="G16" s="43" t="inlineStr">
        <is>
          <t>Absences apparaissent sur les jours concernés, colorées par type</t>
        </is>
      </c>
      <c r="H16" s="43" t="inlineStr"/>
      <c r="I16" s="42" t="inlineStr">
        <is>
          <t>⬜ Non exécuté</t>
        </is>
      </c>
      <c r="J16" s="43" t="inlineStr"/>
      <c r="K16" s="43" t="inlineStr"/>
      <c r="L16" s="43" t="inlineStr"/>
      <c r="M16" s="43" t="inlineStr"/>
      <c r="N16" s="43" t="inlineStr"/>
      <c r="O16" s="43" t="inlineStr">
        <is>
          <t>Sprint 1</t>
        </is>
      </c>
      <c r="P16" s="43" t="inlineStr">
        <is>
          <t>Production</t>
        </is>
      </c>
    </row>
    <row r="17" ht="58" customHeight="1">
      <c r="A17" s="53" t="inlineStr">
        <is>
          <t>ABS-015</t>
        </is>
      </c>
      <c r="B17" s="44" t="inlineStr">
        <is>
          <t>P2 — Haute</t>
        </is>
      </c>
      <c r="C17" s="41" t="inlineStr">
        <is>
          <t>Solde mis à jour après approbation</t>
        </is>
      </c>
      <c r="D17" s="41" t="inlineStr"/>
      <c r="E17" s="41" t="inlineStr"/>
      <c r="F17" s="41" t="inlineStr">
        <is>
          <t>1. Solde CP avant = 15j
2. Demande 5j approuvée</t>
        </is>
      </c>
      <c r="G17" s="41" t="inlineStr">
        <is>
          <t>Solde = 15 - 5 = 10j après approbation</t>
        </is>
      </c>
      <c r="H17" s="41" t="inlineStr"/>
      <c r="I17" s="42" t="inlineStr">
        <is>
          <t>⬜ Non exécuté</t>
        </is>
      </c>
      <c r="J17" s="41" t="inlineStr"/>
      <c r="K17" s="41" t="inlineStr"/>
      <c r="L17" s="41" t="inlineStr"/>
      <c r="M17" s="41" t="inlineStr"/>
      <c r="N17" s="41" t="inlineStr"/>
      <c r="O17" s="41" t="inlineStr">
        <is>
          <t>Sprint 1</t>
        </is>
      </c>
      <c r="P17" s="41" t="inlineStr">
        <is>
          <t>Production</t>
        </is>
      </c>
    </row>
    <row r="18" ht="58" customHeight="1">
      <c r="A18" s="53" t="inlineStr">
        <is>
          <t>ABS-016</t>
        </is>
      </c>
      <c r="B18" s="45" t="inlineStr">
        <is>
          <t>P3 — Moyenne</t>
        </is>
      </c>
      <c r="C18" s="43" t="inlineStr">
        <is>
          <t>Notification manager à la soumission</t>
        </is>
      </c>
      <c r="D18" s="43" t="inlineStr"/>
      <c r="E18" s="43" t="inlineStr">
        <is>
          <t>SMTP configuré</t>
        </is>
      </c>
      <c r="F18" s="43" t="inlineStr">
        <is>
          <t>1. Employé soumet une demande
2. Vérifier email manager</t>
        </is>
      </c>
      <c r="G18" s="43" t="inlineStr">
        <is>
          <t>Email reçu avec détails de la demande et lien d'approbation</t>
        </is>
      </c>
      <c r="H18" s="43" t="inlineStr"/>
      <c r="I18" s="42" t="inlineStr">
        <is>
          <t>⬜ Non exécuté</t>
        </is>
      </c>
      <c r="J18" s="43" t="inlineStr"/>
      <c r="K18" s="43" t="inlineStr"/>
      <c r="L18" s="43" t="inlineStr"/>
      <c r="M18" s="43" t="inlineStr"/>
      <c r="N18" s="43" t="inlineStr"/>
      <c r="O18" s="43" t="inlineStr">
        <is>
          <t>Sprint 1</t>
        </is>
      </c>
      <c r="P18" s="43" t="inlineStr">
        <is>
          <t>Production</t>
        </is>
      </c>
    </row>
  </sheetData>
  <mergeCells count="1">
    <mergeCell ref="A1:P1"/>
  </mergeCells>
  <conditionalFormatting sqref="A3:P18">
    <cfRule type="expression" priority="1" dxfId="0">
      <formula>$I3="✅ Passé"</formula>
    </cfRule>
    <cfRule type="expression" priority="2" dxfId="1">
      <formula>$I3="❌ Échoué"</formula>
    </cfRule>
    <cfRule type="expression" priority="3" dxfId="2">
      <formula>$I3="⚠️ Bloqué"</formula>
    </cfRule>
    <cfRule type="expression" priority="4" dxfId="3">
      <formula>$I3="▶️ En cours"</formula>
    </cfRule>
    <cfRule type="expression" priority="5" dxfId="4">
      <formula>$I3="⬜ Non exécuté"</formula>
    </cfRule>
  </conditionalFormatting>
  <dataValidations count="48">
    <dataValidation sqref="I3" showDropDown="0" showInputMessage="0" showErrorMessage="0" allowBlank="1" type="list">
      <formula1>"✅ Passé,❌ Échoué,⚠️ Bloqué,▶️ En cours,⬜ Non exécuté"</formula1>
    </dataValidation>
    <dataValidation sqref="B3" showDropDown="0" showInputMessage="0" showErrorMessage="0" allowBlank="1" type="list">
      <formula1>"P1 — Critique,P2 — Haute,P3 — Moyenne,P4 — Basse"</formula1>
    </dataValidation>
    <dataValidation sqref="P3" showDropDown="0" showInputMessage="0" showErrorMessage="0" allowBlank="1" type="list">
      <formula1>"Production,Preprod,Local"</formula1>
    </dataValidation>
    <dataValidation sqref="I4" showDropDown="0" showInputMessage="0" showErrorMessage="0" allowBlank="1" type="list">
      <formula1>"✅ Passé,❌ Échoué,⚠️ Bloqué,▶️ En cours,⬜ Non exécuté"</formula1>
    </dataValidation>
    <dataValidation sqref="B4" showDropDown="0" showInputMessage="0" showErrorMessage="0" allowBlank="1" type="list">
      <formula1>"P1 — Critique,P2 — Haute,P3 — Moyenne,P4 — Basse"</formula1>
    </dataValidation>
    <dataValidation sqref="P4" showDropDown="0" showInputMessage="0" showErrorMessage="0" allowBlank="1" type="list">
      <formula1>"Production,Preprod,Local"</formula1>
    </dataValidation>
    <dataValidation sqref="I5" showDropDown="0" showInputMessage="0" showErrorMessage="0" allowBlank="1" type="list">
      <formula1>"✅ Passé,❌ Échoué,⚠️ Bloqué,▶️ En cours,⬜ Non exécuté"</formula1>
    </dataValidation>
    <dataValidation sqref="B5" showDropDown="0" showInputMessage="0" showErrorMessage="0" allowBlank="1" type="list">
      <formula1>"P1 — Critique,P2 — Haute,P3 — Moyenne,P4 — Basse"</formula1>
    </dataValidation>
    <dataValidation sqref="P5" showDropDown="0" showInputMessage="0" showErrorMessage="0" allowBlank="1" type="list">
      <formula1>"Production,Preprod,Local"</formula1>
    </dataValidation>
    <dataValidation sqref="I6" showDropDown="0" showInputMessage="0" showErrorMessage="0" allowBlank="1" type="list">
      <formula1>"✅ Passé,❌ Échoué,⚠️ Bloqué,▶️ En cours,⬜ Non exécuté"</formula1>
    </dataValidation>
    <dataValidation sqref="B6" showDropDown="0" showInputMessage="0" showErrorMessage="0" allowBlank="1" type="list">
      <formula1>"P1 — Critique,P2 — Haute,P3 — Moyenne,P4 — Basse"</formula1>
    </dataValidation>
    <dataValidation sqref="P6" showDropDown="0" showInputMessage="0" showErrorMessage="0" allowBlank="1" type="list">
      <formula1>"Production,Preprod,Local"</formula1>
    </dataValidation>
    <dataValidation sqref="I7" showDropDown="0" showInputMessage="0" showErrorMessage="0" allowBlank="1" type="list">
      <formula1>"✅ Passé,❌ Échoué,⚠️ Bloqué,▶️ En cours,⬜ Non exécuté"</formula1>
    </dataValidation>
    <dataValidation sqref="B7" showDropDown="0" showInputMessage="0" showErrorMessage="0" allowBlank="1" type="list">
      <formula1>"P1 — Critique,P2 — Haute,P3 — Moyenne,P4 — Basse"</formula1>
    </dataValidation>
    <dataValidation sqref="P7" showDropDown="0" showInputMessage="0" showErrorMessage="0" allowBlank="1" type="list">
      <formula1>"Production,Preprod,Local"</formula1>
    </dataValidation>
    <dataValidation sqref="I8" showDropDown="0" showInputMessage="0" showErrorMessage="0" allowBlank="1" type="list">
      <formula1>"✅ Passé,❌ Échoué,⚠️ Bloqué,▶️ En cours,⬜ Non exécuté"</formula1>
    </dataValidation>
    <dataValidation sqref="B8" showDropDown="0" showInputMessage="0" showErrorMessage="0" allowBlank="1" type="list">
      <formula1>"P1 — Critique,P2 — Haute,P3 — Moyenne,P4 — Basse"</formula1>
    </dataValidation>
    <dataValidation sqref="P8" showDropDown="0" showInputMessage="0" showErrorMessage="0" allowBlank="1" type="list">
      <formula1>"Production,Preprod,Local"</formula1>
    </dataValidation>
    <dataValidation sqref="I9" showDropDown="0" showInputMessage="0" showErrorMessage="0" allowBlank="1" type="list">
      <formula1>"✅ Passé,❌ Échoué,⚠️ Bloqué,▶️ En cours,⬜ Non exécuté"</formula1>
    </dataValidation>
    <dataValidation sqref="B9" showDropDown="0" showInputMessage="0" showErrorMessage="0" allowBlank="1" type="list">
      <formula1>"P1 — Critique,P2 — Haute,P3 — Moyenne,P4 — Basse"</formula1>
    </dataValidation>
    <dataValidation sqref="P9" showDropDown="0" showInputMessage="0" showErrorMessage="0" allowBlank="1" type="list">
      <formula1>"Production,Preprod,Local"</formula1>
    </dataValidation>
    <dataValidation sqref="I10" showDropDown="0" showInputMessage="0" showErrorMessage="0" allowBlank="1" type="list">
      <formula1>"✅ Passé,❌ Échoué,⚠️ Bloqué,▶️ En cours,⬜ Non exécuté"</formula1>
    </dataValidation>
    <dataValidation sqref="B10" showDropDown="0" showInputMessage="0" showErrorMessage="0" allowBlank="1" type="list">
      <formula1>"P1 — Critique,P2 — Haute,P3 — Moyenne,P4 — Basse"</formula1>
    </dataValidation>
    <dataValidation sqref="P10" showDropDown="0" showInputMessage="0" showErrorMessage="0" allowBlank="1" type="list">
      <formula1>"Production,Preprod,Local"</formula1>
    </dataValidation>
    <dataValidation sqref="I11" showDropDown="0" showInputMessage="0" showErrorMessage="0" allowBlank="1" type="list">
      <formula1>"✅ Passé,❌ Échoué,⚠️ Bloqué,▶️ En cours,⬜ Non exécuté"</formula1>
    </dataValidation>
    <dataValidation sqref="B11" showDropDown="0" showInputMessage="0" showErrorMessage="0" allowBlank="1" type="list">
      <formula1>"P1 — Critique,P2 — Haute,P3 — Moyenne,P4 — Basse"</formula1>
    </dataValidation>
    <dataValidation sqref="P11" showDropDown="0" showInputMessage="0" showErrorMessage="0" allowBlank="1" type="list">
      <formula1>"Production,Preprod,Local"</formula1>
    </dataValidation>
    <dataValidation sqref="I12" showDropDown="0" showInputMessage="0" showErrorMessage="0" allowBlank="1" type="list">
      <formula1>"✅ Passé,❌ Échoué,⚠️ Bloqué,▶️ En cours,⬜ Non exécuté"</formula1>
    </dataValidation>
    <dataValidation sqref="B12" showDropDown="0" showInputMessage="0" showErrorMessage="0" allowBlank="1" type="list">
      <formula1>"P1 — Critique,P2 — Haute,P3 — Moyenne,P4 — Basse"</formula1>
    </dataValidation>
    <dataValidation sqref="P12" showDropDown="0" showInputMessage="0" showErrorMessage="0" allowBlank="1" type="list">
      <formula1>"Production,Preprod,Local"</formula1>
    </dataValidation>
    <dataValidation sqref="I13" showDropDown="0" showInputMessage="0" showErrorMessage="0" allowBlank="1" type="list">
      <formula1>"✅ Passé,❌ Échoué,⚠️ Bloqué,▶️ En cours,⬜ Non exécuté"</formula1>
    </dataValidation>
    <dataValidation sqref="B13" showDropDown="0" showInputMessage="0" showErrorMessage="0" allowBlank="1" type="list">
      <formula1>"P1 — Critique,P2 — Haute,P3 — Moyenne,P4 — Basse"</formula1>
    </dataValidation>
    <dataValidation sqref="P13" showDropDown="0" showInputMessage="0" showErrorMessage="0" allowBlank="1" type="list">
      <formula1>"Production,Preprod,Local"</formula1>
    </dataValidation>
    <dataValidation sqref="I14" showDropDown="0" showInputMessage="0" showErrorMessage="0" allowBlank="1" type="list">
      <formula1>"✅ Passé,❌ Échoué,⚠️ Bloqué,▶️ En cours,⬜ Non exécuté"</formula1>
    </dataValidation>
    <dataValidation sqref="B14" showDropDown="0" showInputMessage="0" showErrorMessage="0" allowBlank="1" type="list">
      <formula1>"P1 — Critique,P2 — Haute,P3 — Moyenne,P4 — Basse"</formula1>
    </dataValidation>
    <dataValidation sqref="P14" showDropDown="0" showInputMessage="0" showErrorMessage="0" allowBlank="1" type="list">
      <formula1>"Production,Preprod,Local"</formula1>
    </dataValidation>
    <dataValidation sqref="I15" showDropDown="0" showInputMessage="0" showErrorMessage="0" allowBlank="1" type="list">
      <formula1>"✅ Passé,❌ Échoué,⚠️ Bloqué,▶️ En cours,⬜ Non exécuté"</formula1>
    </dataValidation>
    <dataValidation sqref="B15" showDropDown="0" showInputMessage="0" showErrorMessage="0" allowBlank="1" type="list">
      <formula1>"P1 — Critique,P2 — Haute,P3 — Moyenne,P4 — Basse"</formula1>
    </dataValidation>
    <dataValidation sqref="P15" showDropDown="0" showInputMessage="0" showErrorMessage="0" allowBlank="1" type="list">
      <formula1>"Production,Preprod,Local"</formula1>
    </dataValidation>
    <dataValidation sqref="I16" showDropDown="0" showInputMessage="0" showErrorMessage="0" allowBlank="1" type="list">
      <formula1>"✅ Passé,❌ Échoué,⚠️ Bloqué,▶️ En cours,⬜ Non exécuté"</formula1>
    </dataValidation>
    <dataValidation sqref="B16" showDropDown="0" showInputMessage="0" showErrorMessage="0" allowBlank="1" type="list">
      <formula1>"P1 — Critique,P2 — Haute,P3 — Moyenne,P4 — Basse"</formula1>
    </dataValidation>
    <dataValidation sqref="P16" showDropDown="0" showInputMessage="0" showErrorMessage="0" allowBlank="1" type="list">
      <formula1>"Production,Preprod,Local"</formula1>
    </dataValidation>
    <dataValidation sqref="I17" showDropDown="0" showInputMessage="0" showErrorMessage="0" allowBlank="1" type="list">
      <formula1>"✅ Passé,❌ Échoué,⚠️ Bloqué,▶️ En cours,⬜ Non exécuté"</formula1>
    </dataValidation>
    <dataValidation sqref="B17" showDropDown="0" showInputMessage="0" showErrorMessage="0" allowBlank="1" type="list">
      <formula1>"P1 — Critique,P2 — Haute,P3 — Moyenne,P4 — Basse"</formula1>
    </dataValidation>
    <dataValidation sqref="P17" showDropDown="0" showInputMessage="0" showErrorMessage="0" allowBlank="1" type="list">
      <formula1>"Production,Preprod,Local"</formula1>
    </dataValidation>
    <dataValidation sqref="I18" showDropDown="0" showInputMessage="0" showErrorMessage="0" allowBlank="1" type="list">
      <formula1>"✅ Passé,❌ Échoué,⚠️ Bloqué,▶️ En cours,⬜ Non exécuté"</formula1>
    </dataValidation>
    <dataValidation sqref="B18" showDropDown="0" showInputMessage="0" showErrorMessage="0" allowBlank="1" type="list">
      <formula1>"P1 — Critique,P2 — Haute,P3 — Moyenne,P4 — Basse"</formula1>
    </dataValidation>
    <dataValidation sqref="P18" showDropDown="0" showInputMessage="0" showErrorMessage="0" allowBlank="1" type="list">
      <formula1>"Production,Preprod,Local"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P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38" customWidth="1" min="3" max="3"/>
    <col width="32" customWidth="1" min="4" max="4"/>
    <col width="30" customWidth="1" min="5" max="5"/>
    <col width="40" customWidth="1" min="6" max="6"/>
    <col width="38" customWidth="1" min="7" max="7"/>
    <col width="38" customWidth="1" min="8" max="8"/>
    <col width="18" customWidth="1" min="9" max="9"/>
    <col width="16" customWidth="1" min="10" max="10"/>
    <col width="13" customWidth="1" min="11" max="11"/>
    <col width="12" customWidth="1" min="12" max="12"/>
    <col width="24" customWidth="1" min="13" max="13"/>
    <col width="36" customWidth="1" min="14" max="14"/>
    <col width="10" customWidth="1" min="15" max="15"/>
    <col width="12" customWidth="1" min="16" max="16"/>
  </cols>
  <sheetData>
    <row r="1" ht="26" customHeight="1">
      <c r="A1" s="54" t="inlineStr">
        <is>
          <t xml:space="preserve">  RECRUTEMENT &amp; ATS  ·  18 scénarios</t>
        </is>
      </c>
    </row>
    <row r="2" ht="22" customHeight="1">
      <c r="A2" s="39" t="inlineStr">
        <is>
          <t>ID Test</t>
        </is>
      </c>
      <c r="B2" s="39" t="inlineStr">
        <is>
          <t>Priorité</t>
        </is>
      </c>
      <c r="C2" s="39" t="inlineStr">
        <is>
          <t>Titre du scénario</t>
        </is>
      </c>
      <c r="D2" s="39" t="inlineStr">
        <is>
          <t>Description / Contexte</t>
        </is>
      </c>
      <c r="E2" s="39" t="inlineStr">
        <is>
          <t>Prérequis / Données</t>
        </is>
      </c>
      <c r="F2" s="39" t="inlineStr">
        <is>
          <t>Étapes détaillées</t>
        </is>
      </c>
      <c r="G2" s="39" t="inlineStr">
        <is>
          <t>Résultat attendu</t>
        </is>
      </c>
      <c r="H2" s="39" t="inlineStr">
        <is>
          <t>Résultat obtenu</t>
        </is>
      </c>
      <c r="I2" s="39" t="inlineStr">
        <is>
          <t>Statut</t>
        </is>
      </c>
      <c r="J2" s="39" t="inlineStr">
        <is>
          <t>Testeur</t>
        </is>
      </c>
      <c r="K2" s="39" t="inlineStr">
        <is>
          <t>Date test</t>
        </is>
      </c>
      <c r="L2" s="39" t="inlineStr">
        <is>
          <t>Durée (min)</t>
        </is>
      </c>
      <c r="M2" s="39" t="inlineStr">
        <is>
          <t>Ticket / Requalification</t>
        </is>
      </c>
      <c r="N2" s="39" t="inlineStr">
        <is>
          <t>Commentaire / Amélioration</t>
        </is>
      </c>
      <c r="O2" s="39" t="inlineStr">
        <is>
          <t>Sprint</t>
        </is>
      </c>
      <c r="P2" s="39" t="inlineStr">
        <is>
          <t>Env.</t>
        </is>
      </c>
    </row>
    <row r="3" ht="58" customHeight="1">
      <c r="A3" s="55" t="inlineStr">
        <is>
          <t>REC-001</t>
        </is>
      </c>
      <c r="B3" s="40" t="inlineStr">
        <is>
          <t>P1 — Critique</t>
        </is>
      </c>
      <c r="C3" s="41" t="inlineStr">
        <is>
          <t>Création offre d'emploi</t>
        </is>
      </c>
      <c r="D3" s="41" t="inlineStr"/>
      <c r="E3" s="41" t="inlineStr">
        <is>
          <t>Admin/RH connecté</t>
        </is>
      </c>
      <c r="F3" s="41" t="inlineStr">
        <is>
          <t>1. /recruitment/new
2. Titre, lieu, type contrat, fourchette salariale FCFA, description
3. Publier</t>
        </is>
      </c>
      <c r="G3" s="41" t="inlineStr">
        <is>
          <t>Offre créée, statut 'open', visible dans le tableau de bord recrutement</t>
        </is>
      </c>
      <c r="H3" s="41" t="inlineStr"/>
      <c r="I3" s="42" t="inlineStr">
        <is>
          <t>⬜ Non exécuté</t>
        </is>
      </c>
      <c r="J3" s="41" t="inlineStr"/>
      <c r="K3" s="41" t="inlineStr"/>
      <c r="L3" s="41" t="inlineStr"/>
      <c r="M3" s="41" t="inlineStr"/>
      <c r="N3" s="41" t="inlineStr"/>
      <c r="O3" s="41" t="inlineStr">
        <is>
          <t>Sprint 1</t>
        </is>
      </c>
      <c r="P3" s="41" t="inlineStr">
        <is>
          <t>Production</t>
        </is>
      </c>
    </row>
    <row r="4" ht="58" customHeight="1">
      <c r="A4" s="55" t="inlineStr">
        <is>
          <t>REC-002</t>
        </is>
      </c>
      <c r="B4" s="44" t="inlineStr">
        <is>
          <t>P2 — Haute</t>
        </is>
      </c>
      <c r="C4" s="43" t="inlineStr">
        <is>
          <t>Clôture offre d'emploi</t>
        </is>
      </c>
      <c r="D4" s="43" t="inlineStr"/>
      <c r="E4" s="43" t="inlineStr">
        <is>
          <t>Offre ouverte</t>
        </is>
      </c>
      <c r="F4" s="43" t="inlineStr">
        <is>
          <t>1. Actions → Clôturer l'offre</t>
        </is>
      </c>
      <c r="G4" s="43" t="inlineStr">
        <is>
          <t>Statut = 'closed', n'apparaît plus dans les offres actives</t>
        </is>
      </c>
      <c r="H4" s="43" t="inlineStr"/>
      <c r="I4" s="42" t="inlineStr">
        <is>
          <t>⬜ Non exécuté</t>
        </is>
      </c>
      <c r="J4" s="43" t="inlineStr"/>
      <c r="K4" s="43" t="inlineStr"/>
      <c r="L4" s="43" t="inlineStr"/>
      <c r="M4" s="43" t="inlineStr"/>
      <c r="N4" s="43" t="inlineStr"/>
      <c r="O4" s="43" t="inlineStr">
        <is>
          <t>Sprint 1</t>
        </is>
      </c>
      <c r="P4" s="43" t="inlineStr">
        <is>
          <t>Production</t>
        </is>
      </c>
    </row>
    <row r="5" ht="58" customHeight="1">
      <c r="A5" s="55" t="inlineStr">
        <is>
          <t>REC-003</t>
        </is>
      </c>
      <c r="B5" s="40" t="inlineStr">
        <is>
          <t>P1 — Critique</t>
        </is>
      </c>
      <c r="C5" s="41" t="inlineStr">
        <is>
          <t>Pipeline Kanban — 5 colonnes</t>
        </is>
      </c>
      <c r="D5" s="41" t="inlineStr">
        <is>
          <t>new → screening → interview → offer → hired</t>
        </is>
      </c>
      <c r="E5" s="41" t="inlineStr">
        <is>
          <t>Offre ouverte avec candidatures</t>
        </is>
      </c>
      <c r="F5" s="41" t="inlineStr">
        <is>
          <t>1. Vue Kanban de l'offre</t>
        </is>
      </c>
      <c r="G5" s="41" t="inlineStr">
        <is>
          <t>5 colonnes affichées, candidatures déplaçables par drag &amp; drop</t>
        </is>
      </c>
      <c r="H5" s="41" t="inlineStr"/>
      <c r="I5" s="42" t="inlineStr">
        <is>
          <t>⬜ Non exécuté</t>
        </is>
      </c>
      <c r="J5" s="41" t="inlineStr"/>
      <c r="K5" s="41" t="inlineStr"/>
      <c r="L5" s="41" t="inlineStr"/>
      <c r="M5" s="41" t="inlineStr"/>
      <c r="N5" s="41" t="inlineStr"/>
      <c r="O5" s="41" t="inlineStr">
        <is>
          <t>Sprint 1</t>
        </is>
      </c>
      <c r="P5" s="41" t="inlineStr">
        <is>
          <t>Production</t>
        </is>
      </c>
    </row>
    <row r="6" ht="58" customHeight="1">
      <c r="A6" s="55" t="inlineStr">
        <is>
          <t>REC-004</t>
        </is>
      </c>
      <c r="B6" s="40" t="inlineStr">
        <is>
          <t>P1 — Critique</t>
        </is>
      </c>
      <c r="C6" s="43" t="inlineStr">
        <is>
          <t>Ajout candidature</t>
        </is>
      </c>
      <c r="D6" s="43" t="inlineStr"/>
      <c r="E6" s="43" t="inlineStr"/>
      <c r="F6" s="43" t="inlineStr">
        <is>
          <t>1. Offre → Ajouter candidature
2. Prénom, nom, email, téléphone CI, CV</t>
        </is>
      </c>
      <c r="G6" s="43" t="inlineStr">
        <is>
          <t>Candidature créée en stage 'new'</t>
        </is>
      </c>
      <c r="H6" s="43" t="inlineStr"/>
      <c r="I6" s="42" t="inlineStr">
        <is>
          <t>⬜ Non exécuté</t>
        </is>
      </c>
      <c r="J6" s="43" t="inlineStr"/>
      <c r="K6" s="43" t="inlineStr"/>
      <c r="L6" s="43" t="inlineStr"/>
      <c r="M6" s="43" t="inlineStr"/>
      <c r="N6" s="43" t="inlineStr"/>
      <c r="O6" s="43" t="inlineStr">
        <is>
          <t>Sprint 1</t>
        </is>
      </c>
      <c r="P6" s="43" t="inlineStr">
        <is>
          <t>Production</t>
        </is>
      </c>
    </row>
    <row r="7" ht="58" customHeight="1">
      <c r="A7" s="55" t="inlineStr">
        <is>
          <t>REC-005</t>
        </is>
      </c>
      <c r="B7" s="44" t="inlineStr">
        <is>
          <t>P2 — Haute</t>
        </is>
      </c>
      <c r="C7" s="41" t="inlineStr">
        <is>
          <t>Déplacement stage Kanban</t>
        </is>
      </c>
      <c r="D7" s="41" t="inlineStr"/>
      <c r="E7" s="41" t="inlineStr"/>
      <c r="F7" s="41" t="inlineStr">
        <is>
          <t>1. Glisser une candidature de 'screening' vers 'interview'</t>
        </is>
      </c>
      <c r="G7" s="41" t="inlineStr">
        <is>
          <t>Stage mis à jour, historique conservé</t>
        </is>
      </c>
      <c r="H7" s="41" t="inlineStr"/>
      <c r="I7" s="42" t="inlineStr">
        <is>
          <t>⬜ Non exécuté</t>
        </is>
      </c>
      <c r="J7" s="41" t="inlineStr"/>
      <c r="K7" s="41" t="inlineStr"/>
      <c r="L7" s="41" t="inlineStr"/>
      <c r="M7" s="41" t="inlineStr"/>
      <c r="N7" s="41" t="inlineStr"/>
      <c r="O7" s="41" t="inlineStr">
        <is>
          <t>Sprint 1</t>
        </is>
      </c>
      <c r="P7" s="41" t="inlineStr">
        <is>
          <t>Production</t>
        </is>
      </c>
    </row>
    <row r="8" ht="58" customHeight="1">
      <c r="A8" s="55" t="inlineStr">
        <is>
          <t>REC-006</t>
        </is>
      </c>
      <c r="B8" s="45" t="inlineStr">
        <is>
          <t>P3 — Moyenne</t>
        </is>
      </c>
      <c r="C8" s="43" t="inlineStr">
        <is>
          <t>Scoring IA candidature</t>
        </is>
      </c>
      <c r="D8" s="43" t="inlineStr"/>
      <c r="E8" s="43" t="inlineStr">
        <is>
          <t>ANTHROPIC_API_KEY configuré</t>
        </is>
      </c>
      <c r="F8" s="43" t="inlineStr">
        <is>
          <t>1. Ouvrir une candidature
2. Cliquer 'Analyser avec IA'</t>
        </is>
      </c>
      <c r="G8" s="43" t="inlineStr">
        <is>
          <t>Score de compatibilité retourné avec facteurs explicatifs en français</t>
        </is>
      </c>
      <c r="H8" s="43" t="inlineStr"/>
      <c r="I8" s="42" t="inlineStr">
        <is>
          <t>⬜ Non exécuté</t>
        </is>
      </c>
      <c r="J8" s="43" t="inlineStr"/>
      <c r="K8" s="43" t="inlineStr"/>
      <c r="L8" s="43" t="inlineStr"/>
      <c r="M8" s="43" t="inlineStr"/>
      <c r="N8" s="43" t="inlineStr"/>
      <c r="O8" s="43" t="inlineStr">
        <is>
          <t>Sprint 1</t>
        </is>
      </c>
      <c r="P8" s="43" t="inlineStr">
        <is>
          <t>Production</t>
        </is>
      </c>
    </row>
    <row r="9" ht="58" customHeight="1">
      <c r="A9" s="55" t="inlineStr">
        <is>
          <t>REC-007</t>
        </is>
      </c>
      <c r="B9" s="45" t="inlineStr">
        <is>
          <t>P3 — Moyenne</t>
        </is>
      </c>
      <c r="C9" s="41" t="inlineStr">
        <is>
          <t>Génération contrat OHADA à l'embauche</t>
        </is>
      </c>
      <c r="D9" s="41" t="inlineStr">
        <is>
          <t>Stage = hired déclenche la génération du contrat</t>
        </is>
      </c>
      <c r="E9" s="41" t="inlineStr"/>
      <c r="F9" s="41" t="inlineStr">
        <is>
          <t>1. Déplacer candidature vers 'hired'
2. Compléter informations contrat</t>
        </is>
      </c>
      <c r="G9" s="41" t="inlineStr">
        <is>
          <t>PDF CDI/CDD CI généré avec mentions OHADA obligatoires</t>
        </is>
      </c>
      <c r="H9" s="41" t="inlineStr"/>
      <c r="I9" s="42" t="inlineStr">
        <is>
          <t>⬜ Non exécuté</t>
        </is>
      </c>
      <c r="J9" s="41" t="inlineStr"/>
      <c r="K9" s="41" t="inlineStr"/>
      <c r="L9" s="41" t="inlineStr"/>
      <c r="M9" s="41" t="inlineStr"/>
      <c r="N9" s="41" t="inlineStr"/>
      <c r="O9" s="41" t="inlineStr">
        <is>
          <t>Sprint 1</t>
        </is>
      </c>
      <c r="P9" s="41" t="inlineStr">
        <is>
          <t>Production</t>
        </is>
      </c>
    </row>
    <row r="10" ht="58" customHeight="1">
      <c r="A10" s="55" t="inlineStr">
        <is>
          <t>REC-008</t>
        </is>
      </c>
      <c r="B10" s="44" t="inlineStr">
        <is>
          <t>P2 — Haute</t>
        </is>
      </c>
      <c r="C10" s="43" t="inlineStr">
        <is>
          <t>Fourchette salariale en FCFA</t>
        </is>
      </c>
      <c r="D10" s="43" t="inlineStr"/>
      <c r="E10" s="43" t="inlineStr"/>
      <c r="F10" s="43" t="inlineStr">
        <is>
          <t>1. Créer offre avec salary_min 250 000, salary_max 350 000</t>
        </is>
      </c>
      <c r="G10" s="43" t="inlineStr">
        <is>
          <t>Affiché 'De 250 000 à 350 000 FCFA' sans décimales</t>
        </is>
      </c>
      <c r="H10" s="43" t="inlineStr"/>
      <c r="I10" s="42" t="inlineStr">
        <is>
          <t>⬜ Non exécuté</t>
        </is>
      </c>
      <c r="J10" s="43" t="inlineStr"/>
      <c r="K10" s="43" t="inlineStr"/>
      <c r="L10" s="43" t="inlineStr"/>
      <c r="M10" s="43" t="inlineStr"/>
      <c r="N10" s="43" t="inlineStr"/>
      <c r="O10" s="43" t="inlineStr">
        <is>
          <t>Sprint 1</t>
        </is>
      </c>
      <c r="P10" s="43" t="inlineStr">
        <is>
          <t>Production</t>
        </is>
      </c>
    </row>
    <row r="11" ht="58" customHeight="1">
      <c r="A11" s="55" t="inlineStr">
        <is>
          <t>REC-009</t>
        </is>
      </c>
      <c r="B11" s="44" t="inlineStr">
        <is>
          <t>P2 — Haute</t>
        </is>
      </c>
      <c r="C11" s="41" t="inlineStr">
        <is>
          <t>Filtrage offres par statut</t>
        </is>
      </c>
      <c r="D11" s="41" t="inlineStr"/>
      <c r="E11" s="41" t="inlineStr"/>
      <c r="F11" s="41" t="inlineStr">
        <is>
          <t>1. Filtre 'Ouvertes' sur la liste</t>
        </is>
      </c>
      <c r="G11" s="41" t="inlineStr">
        <is>
          <t>Seules les offres open affichées</t>
        </is>
      </c>
      <c r="H11" s="41" t="inlineStr"/>
      <c r="I11" s="42" t="inlineStr">
        <is>
          <t>⬜ Non exécuté</t>
        </is>
      </c>
      <c r="J11" s="41" t="inlineStr"/>
      <c r="K11" s="41" t="inlineStr"/>
      <c r="L11" s="41" t="inlineStr"/>
      <c r="M11" s="41" t="inlineStr"/>
      <c r="N11" s="41" t="inlineStr"/>
      <c r="O11" s="41" t="inlineStr">
        <is>
          <t>Sprint 1</t>
        </is>
      </c>
      <c r="P11" s="41" t="inlineStr">
        <is>
          <t>Production</t>
        </is>
      </c>
    </row>
    <row r="12" ht="58" customHeight="1">
      <c r="A12" s="55" t="inlineStr">
        <is>
          <t>REC-010</t>
        </is>
      </c>
      <c r="B12" s="40" t="inlineStr">
        <is>
          <t>P1 — Critique</t>
        </is>
      </c>
      <c r="C12" s="43" t="inlineStr">
        <is>
          <t>[NEW] Onglet Sourcing IA dans Recrutement</t>
        </is>
      </c>
      <c r="D12" s="43" t="inlineStr">
        <is>
          <t>Nouvel onglet entre Pipeline et Carrières</t>
        </is>
      </c>
      <c r="E12" s="43" t="inlineStr">
        <is>
          <t>API + Web déployés branche feat/multi-pays-recrutement-owasp</t>
        </is>
      </c>
      <c r="F12" s="43" t="inlineStr">
        <is>
          <t>1. /recruitment
2. Cliquer onglet 'Sourcing IA' (icône Sparkles)
3. Sélectionner une offre 'Chauffeur Bus Senior'</t>
        </is>
      </c>
      <c r="G12" s="43" t="inlineStr">
        <is>
          <t>Onglet visible, 3e onglet actif. Affichage automatique des profils sourcés en cache (cards émeraude)</t>
        </is>
      </c>
      <c r="H12" s="43" t="inlineStr"/>
      <c r="I12" s="42" t="inlineStr">
        <is>
          <t>⬜ Non exécuté</t>
        </is>
      </c>
      <c r="J12" s="43" t="inlineStr"/>
      <c r="K12" s="43" t="inlineStr"/>
      <c r="L12" s="43" t="inlineStr"/>
      <c r="M12" s="43" t="inlineStr"/>
      <c r="N12" s="43" t="inlineStr"/>
      <c r="O12" s="43" t="inlineStr">
        <is>
          <t>Sprint 1</t>
        </is>
      </c>
      <c r="P12" s="43" t="inlineStr">
        <is>
          <t>Production</t>
        </is>
      </c>
    </row>
    <row r="13" ht="58" customHeight="1">
      <c r="A13" s="55" t="inlineStr">
        <is>
          <t>REC-011</t>
        </is>
      </c>
      <c r="B13" s="40" t="inlineStr">
        <is>
          <t>P1 — Critique</t>
        </is>
      </c>
      <c r="C13" s="41" t="inlineStr">
        <is>
          <t>[NEW] Visualisation profils sourcés du seed</t>
        </is>
      </c>
      <c r="D13" s="41" t="inlineStr">
        <is>
          <t>Le seed pré-remplit 8 profils Chauffeur + 6 profils RH SOTRA + 5 profils OpenLab</t>
        </is>
      </c>
      <c r="E13" s="41" t="inlineStr">
        <is>
          <t>DB seedée avec données sourced_profiles</t>
        </is>
      </c>
      <c r="F13" s="41" t="inlineStr">
        <is>
          <t>1. Onglet Sourcing IA
2. Sélectionner offre 'Chauffeur Bus Senior'</t>
        </is>
      </c>
      <c r="G13" s="41" t="inlineStr">
        <is>
          <t>8 cards profils visibles avec match_score, ville, disponibilité, plateforme suggérée, salaire FCFA</t>
        </is>
      </c>
      <c r="H13" s="41" t="inlineStr"/>
      <c r="I13" s="42" t="inlineStr">
        <is>
          <t>⬜ Non exécuté</t>
        </is>
      </c>
      <c r="J13" s="41" t="inlineStr"/>
      <c r="K13" s="41" t="inlineStr"/>
      <c r="L13" s="41" t="inlineStr"/>
      <c r="M13" s="41" t="inlineStr"/>
      <c r="N13" s="41" t="inlineStr"/>
      <c r="O13" s="41" t="inlineStr">
        <is>
          <t>Sprint 1</t>
        </is>
      </c>
      <c r="P13" s="41" t="inlineStr">
        <is>
          <t>Production</t>
        </is>
      </c>
    </row>
    <row r="14" ht="58" customHeight="1">
      <c r="A14" s="55" t="inlineStr">
        <is>
          <t>REC-012</t>
        </is>
      </c>
      <c r="B14" s="40" t="inlineStr">
        <is>
          <t>P1 — Critique</t>
        </is>
      </c>
      <c r="C14" s="43" t="inlineStr">
        <is>
          <t>[NEW] Transfert profil unique vers pipeline Kanban</t>
        </is>
      </c>
      <c r="D14" s="43" t="inlineStr">
        <is>
          <t>Bouton 'Transférer' sur chaque carte profil</t>
        </is>
      </c>
      <c r="E14" s="43" t="inlineStr">
        <is>
          <t>Profils en cache présents</t>
        </is>
      </c>
      <c r="F14" s="43" t="inlineStr">
        <is>
          <t>1. Carte profil → bouton 'Transférer'
2. Observer le badge 'Dans le pipeline'
3. Aller onglet Pipeline Kanban</t>
        </is>
      </c>
      <c r="G14" s="43" t="inlineStr">
        <is>
          <t>Profil créé comme candidature (source=sourced_ai, stage=new) visible dans la colonne Nouveau du Kanban</t>
        </is>
      </c>
      <c r="H14" s="43" t="inlineStr"/>
      <c r="I14" s="42" t="inlineStr">
        <is>
          <t>⬜ Non exécuté</t>
        </is>
      </c>
      <c r="J14" s="43" t="inlineStr"/>
      <c r="K14" s="43" t="inlineStr"/>
      <c r="L14" s="43" t="inlineStr"/>
      <c r="M14" s="43" t="inlineStr"/>
      <c r="N14" s="43" t="inlineStr"/>
      <c r="O14" s="43" t="inlineStr">
        <is>
          <t>Sprint 1</t>
        </is>
      </c>
      <c r="P14" s="43" t="inlineStr">
        <is>
          <t>Production</t>
        </is>
      </c>
    </row>
    <row r="15" ht="58" customHeight="1">
      <c r="A15" s="55" t="inlineStr">
        <is>
          <t>REC-013</t>
        </is>
      </c>
      <c r="B15" s="40" t="inlineStr">
        <is>
          <t>P1 — Critique</t>
        </is>
      </c>
      <c r="C15" s="41" t="inlineStr">
        <is>
          <t>[NEW] Transfert en masse 'Tout transférer'</t>
        </is>
      </c>
      <c r="D15" s="41" t="inlineStr">
        <is>
          <t>Bouton 'Tout transférer (N)' transfère tous les profils non transférés</t>
        </is>
      </c>
      <c r="E15" s="41" t="inlineStr">
        <is>
          <t>Au moins 3 profils non transférés</t>
        </is>
      </c>
      <c r="F15" s="41" t="inlineStr">
        <is>
          <t>1. Bannière émeraude en haut → 'Tout transférer (N)'
2. Confirmer
3. Aller Pipeline Kanban</t>
        </is>
      </c>
      <c r="G15" s="41" t="inlineStr">
        <is>
          <t>N profils créés en transaction, message succès affiché. Tous présents dans colonne 'Nouveau' du Kanban</t>
        </is>
      </c>
      <c r="H15" s="41" t="inlineStr"/>
      <c r="I15" s="42" t="inlineStr">
        <is>
          <t>⬜ Non exécuté</t>
        </is>
      </c>
      <c r="J15" s="41" t="inlineStr"/>
      <c r="K15" s="41" t="inlineStr"/>
      <c r="L15" s="41" t="inlineStr"/>
      <c r="M15" s="41" t="inlineStr"/>
      <c r="N15" s="41" t="inlineStr"/>
      <c r="O15" s="41" t="inlineStr">
        <is>
          <t>Sprint 1</t>
        </is>
      </c>
      <c r="P15" s="41" t="inlineStr">
        <is>
          <t>Production</t>
        </is>
      </c>
    </row>
    <row r="16" ht="58" customHeight="1">
      <c r="A16" s="55" t="inlineStr">
        <is>
          <t>REC-014</t>
        </is>
      </c>
      <c r="B16" s="40" t="inlineStr">
        <is>
          <t>P1 — Critique</t>
        </is>
      </c>
      <c r="C16" s="43" t="inlineStr">
        <is>
          <t>[NEW] Drag-and-drop Kanban sur profil transféré</t>
        </is>
      </c>
      <c r="D16" s="43" t="inlineStr">
        <is>
          <t>Vérifier que les profils issus du sourcing peuvent être déplacés normalement</t>
        </is>
      </c>
      <c r="E16" s="43" t="inlineStr">
        <is>
          <t>1+ profil transféré présent</t>
        </is>
      </c>
      <c r="F16" s="43" t="inlineStr">
        <is>
          <t>1. Pipeline Kanban
2. Glisser le profil de 'Nouveau' vers 'Présélection'
3. Vérifier le PATCH /applications/:id/stage</t>
        </is>
      </c>
      <c r="G16" s="43" t="inlineStr">
        <is>
          <t>Stage mis à jour, profil dans la nouvelle colonne, aucune erreur 500</t>
        </is>
      </c>
      <c r="H16" s="43" t="inlineStr"/>
      <c r="I16" s="42" t="inlineStr">
        <is>
          <t>⬜ Non exécuté</t>
        </is>
      </c>
      <c r="J16" s="43" t="inlineStr"/>
      <c r="K16" s="43" t="inlineStr"/>
      <c r="L16" s="43" t="inlineStr"/>
      <c r="M16" s="43" t="inlineStr"/>
      <c r="N16" s="43" t="inlineStr"/>
      <c r="O16" s="43" t="inlineStr">
        <is>
          <t>Sprint 1</t>
        </is>
      </c>
      <c r="P16" s="43" t="inlineStr">
        <is>
          <t>Production</t>
        </is>
      </c>
    </row>
    <row r="17" ht="58" customHeight="1">
      <c r="A17" s="55" t="inlineStr">
        <is>
          <t>REC-015</t>
        </is>
      </c>
      <c r="B17" s="44" t="inlineStr">
        <is>
          <t>P2 — Haute</t>
        </is>
      </c>
      <c r="C17" s="41" t="inlineStr">
        <is>
          <t>[NEW] Mode Compare Claude vs Mistral</t>
        </is>
      </c>
      <c r="D17" s="41" t="inlineStr">
        <is>
          <t>Comparaison parallèle des deux modèles IA</t>
        </is>
      </c>
      <c r="E17" s="41" t="inlineStr">
        <is>
          <t>ANTHROPIC_API_KEY + MISTRAL_API_KEY configurés</t>
        </is>
      </c>
      <c r="F17" s="41" t="inlineStr">
        <is>
          <t>1. Onglet Sourcing IA
2. Mode 'Compare Claude vs Mistral'
3. Lancer la génération</t>
        </is>
      </c>
      <c r="G17" s="41" t="inlineStr">
        <is>
          <t>Rapport comparatif affiché : latence, coût, richesse, gagnant, recommandation. Toggle vue Claude/Mistral</t>
        </is>
      </c>
      <c r="H17" s="41" t="inlineStr"/>
      <c r="I17" s="42" t="inlineStr">
        <is>
          <t>⬜ Non exécuté</t>
        </is>
      </c>
      <c r="J17" s="41" t="inlineStr"/>
      <c r="K17" s="41" t="inlineStr"/>
      <c r="L17" s="41" t="inlineStr"/>
      <c r="M17" s="41" t="inlineStr"/>
      <c r="N17" s="41" t="inlineStr"/>
      <c r="O17" s="41" t="inlineStr">
        <is>
          <t>Sprint 1</t>
        </is>
      </c>
      <c r="P17" s="41" t="inlineStr">
        <is>
          <t>Production</t>
        </is>
      </c>
    </row>
    <row r="18" ht="58" customHeight="1">
      <c r="A18" s="55" t="inlineStr">
        <is>
          <t>REC-016</t>
        </is>
      </c>
      <c r="B18" s="44" t="inlineStr">
        <is>
          <t>P2 — Haute</t>
        </is>
      </c>
      <c r="C18" s="43" t="inlineStr">
        <is>
          <t>[NEW] Multi-pays Sourcing IA (CI + SN + GH)</t>
        </is>
      </c>
      <c r="D18" s="43" t="inlineStr">
        <is>
          <t>Cocher plusieurs pays cibles dans le sélecteur</t>
        </is>
      </c>
      <c r="E18" s="43" t="inlineStr"/>
      <c r="F18" s="43" t="inlineStr">
        <is>
          <t>1. Sélecteur pays : cocher CI, SN, GH
2. Plateformes pré-suggérées s'adaptent
3. Générer</t>
        </is>
      </c>
      <c r="G18" s="43" t="inlineStr">
        <is>
          <t>L'IA produit des profils des 3 pays avec noms, localisations et plateformes locales cohérentes</t>
        </is>
      </c>
      <c r="H18" s="43" t="inlineStr"/>
      <c r="I18" s="42" t="inlineStr">
        <is>
          <t>⬜ Non exécuté</t>
        </is>
      </c>
      <c r="J18" s="43" t="inlineStr"/>
      <c r="K18" s="43" t="inlineStr"/>
      <c r="L18" s="43" t="inlineStr"/>
      <c r="M18" s="43" t="inlineStr"/>
      <c r="N18" s="43" t="inlineStr"/>
      <c r="O18" s="43" t="inlineStr">
        <is>
          <t>Sprint 1</t>
        </is>
      </c>
      <c r="P18" s="43" t="inlineStr">
        <is>
          <t>Production</t>
        </is>
      </c>
    </row>
    <row r="19" ht="58" customHeight="1">
      <c r="A19" s="55" t="inlineStr">
        <is>
          <t>REC-017</t>
        </is>
      </c>
      <c r="B19" s="44" t="inlineStr">
        <is>
          <t>P2 — Haute</t>
        </is>
      </c>
      <c r="C19" s="41" t="inlineStr">
        <is>
          <t>[NEW] Contact email depuis carte profil</t>
        </is>
      </c>
      <c r="D19" s="41" t="inlineStr">
        <is>
          <t>Bouton Message ouvre un dialog avec subject + body pré-remplis</t>
        </is>
      </c>
      <c r="E19" s="41" t="inlineStr"/>
      <c r="F19" s="41" t="inlineStr">
        <is>
          <t>1. Carte profil → bouton 'Message'
2. Vérifier le contenu pré-rempli
3. Copier le message ou ouvrir LinkedIn search</t>
        </is>
      </c>
      <c r="G19" s="41" t="inlineStr">
        <is>
          <t>Dialog affiche objet/corps avec prénom/poste/entreprise. Lien LinkedIn search ouvre Google search préformatée</t>
        </is>
      </c>
      <c r="H19" s="41" t="inlineStr"/>
      <c r="I19" s="42" t="inlineStr">
        <is>
          <t>⬜ Non exécuté</t>
        </is>
      </c>
      <c r="J19" s="41" t="inlineStr"/>
      <c r="K19" s="41" t="inlineStr"/>
      <c r="L19" s="41" t="inlineStr"/>
      <c r="M19" s="41" t="inlineStr"/>
      <c r="N19" s="41" t="inlineStr"/>
      <c r="O19" s="41" t="inlineStr">
        <is>
          <t>Sprint 1</t>
        </is>
      </c>
      <c r="P19" s="41" t="inlineStr">
        <is>
          <t>Production</t>
        </is>
      </c>
    </row>
    <row r="20" ht="58" customHeight="1">
      <c r="A20" s="55" t="inlineStr">
        <is>
          <t>REC-018</t>
        </is>
      </c>
      <c r="B20" s="40" t="inlineStr">
        <is>
          <t>P1 — Critique</t>
        </is>
      </c>
      <c r="C20" s="43" t="inlineStr">
        <is>
          <t>[FIX] Modal Nouvelle offre — pas de débordement</t>
        </is>
      </c>
      <c r="D20" s="43" t="inlineStr">
        <is>
          <t>Régression UI résolue : modal en flex-column avec body scrollable + footer sticky</t>
        </is>
      </c>
      <c r="E20" s="43" t="inlineStr"/>
      <c r="F20" s="43" t="inlineStr">
        <is>
          <t>1. Cliquer 'Nouvelle offre'
2. Redimensionner navigateur à 768px de haut
3. Vérifier que les boutons Annuler/Créer restent visibles</t>
        </is>
      </c>
      <c r="G20" s="43" t="inlineStr">
        <is>
          <t>Modal centrée, body scroll interne, header + footer toujours visibles, pas de débordement vertical</t>
        </is>
      </c>
      <c r="H20" s="43" t="inlineStr"/>
      <c r="I20" s="42" t="inlineStr">
        <is>
          <t>⬜ Non exécuté</t>
        </is>
      </c>
      <c r="J20" s="43" t="inlineStr"/>
      <c r="K20" s="43" t="inlineStr"/>
      <c r="L20" s="43" t="inlineStr"/>
      <c r="M20" s="43" t="inlineStr"/>
      <c r="N20" s="43" t="inlineStr"/>
      <c r="O20" s="43" t="inlineStr">
        <is>
          <t>Sprint 1</t>
        </is>
      </c>
      <c r="P20" s="43" t="inlineStr">
        <is>
          <t>Production</t>
        </is>
      </c>
    </row>
  </sheetData>
  <mergeCells count="1">
    <mergeCell ref="A1:P1"/>
  </mergeCells>
  <conditionalFormatting sqref="A3:P20">
    <cfRule type="expression" priority="1" dxfId="0">
      <formula>$I3="✅ Passé"</formula>
    </cfRule>
    <cfRule type="expression" priority="2" dxfId="1">
      <formula>$I3="❌ Échoué"</formula>
    </cfRule>
    <cfRule type="expression" priority="3" dxfId="2">
      <formula>$I3="⚠️ Bloqué"</formula>
    </cfRule>
    <cfRule type="expression" priority="4" dxfId="3">
      <formula>$I3="▶️ En cours"</formula>
    </cfRule>
    <cfRule type="expression" priority="5" dxfId="4">
      <formula>$I3="⬜ Non exécuté"</formula>
    </cfRule>
  </conditionalFormatting>
  <dataValidations count="54">
    <dataValidation sqref="I3" showDropDown="0" showInputMessage="0" showErrorMessage="0" allowBlank="1" type="list">
      <formula1>"✅ Passé,❌ Échoué,⚠️ Bloqué,▶️ En cours,⬜ Non exécuté"</formula1>
    </dataValidation>
    <dataValidation sqref="B3" showDropDown="0" showInputMessage="0" showErrorMessage="0" allowBlank="1" type="list">
      <formula1>"P1 — Critique,P2 — Haute,P3 — Moyenne,P4 — Basse"</formula1>
    </dataValidation>
    <dataValidation sqref="P3" showDropDown="0" showInputMessage="0" showErrorMessage="0" allowBlank="1" type="list">
      <formula1>"Production,Preprod,Local"</formula1>
    </dataValidation>
    <dataValidation sqref="I4" showDropDown="0" showInputMessage="0" showErrorMessage="0" allowBlank="1" type="list">
      <formula1>"✅ Passé,❌ Échoué,⚠️ Bloqué,▶️ En cours,⬜ Non exécuté"</formula1>
    </dataValidation>
    <dataValidation sqref="B4" showDropDown="0" showInputMessage="0" showErrorMessage="0" allowBlank="1" type="list">
      <formula1>"P1 — Critique,P2 — Haute,P3 — Moyenne,P4 — Basse"</formula1>
    </dataValidation>
    <dataValidation sqref="P4" showDropDown="0" showInputMessage="0" showErrorMessage="0" allowBlank="1" type="list">
      <formula1>"Production,Preprod,Local"</formula1>
    </dataValidation>
    <dataValidation sqref="I5" showDropDown="0" showInputMessage="0" showErrorMessage="0" allowBlank="1" type="list">
      <formula1>"✅ Passé,❌ Échoué,⚠️ Bloqué,▶️ En cours,⬜ Non exécuté"</formula1>
    </dataValidation>
    <dataValidation sqref="B5" showDropDown="0" showInputMessage="0" showErrorMessage="0" allowBlank="1" type="list">
      <formula1>"P1 — Critique,P2 — Haute,P3 — Moyenne,P4 — Basse"</formula1>
    </dataValidation>
    <dataValidation sqref="P5" showDropDown="0" showInputMessage="0" showErrorMessage="0" allowBlank="1" type="list">
      <formula1>"Production,Preprod,Local"</formula1>
    </dataValidation>
    <dataValidation sqref="I6" showDropDown="0" showInputMessage="0" showErrorMessage="0" allowBlank="1" type="list">
      <formula1>"✅ Passé,❌ Échoué,⚠️ Bloqué,▶️ En cours,⬜ Non exécuté"</formula1>
    </dataValidation>
    <dataValidation sqref="B6" showDropDown="0" showInputMessage="0" showErrorMessage="0" allowBlank="1" type="list">
      <formula1>"P1 — Critique,P2 — Haute,P3 — Moyenne,P4 — Basse"</formula1>
    </dataValidation>
    <dataValidation sqref="P6" showDropDown="0" showInputMessage="0" showErrorMessage="0" allowBlank="1" type="list">
      <formula1>"Production,Preprod,Local"</formula1>
    </dataValidation>
    <dataValidation sqref="I7" showDropDown="0" showInputMessage="0" showErrorMessage="0" allowBlank="1" type="list">
      <formula1>"✅ Passé,❌ Échoué,⚠️ Bloqué,▶️ En cours,⬜ Non exécuté"</formula1>
    </dataValidation>
    <dataValidation sqref="B7" showDropDown="0" showInputMessage="0" showErrorMessage="0" allowBlank="1" type="list">
      <formula1>"P1 — Critique,P2 — Haute,P3 — Moyenne,P4 — Basse"</formula1>
    </dataValidation>
    <dataValidation sqref="P7" showDropDown="0" showInputMessage="0" showErrorMessage="0" allowBlank="1" type="list">
      <formula1>"Production,Preprod,Local"</formula1>
    </dataValidation>
    <dataValidation sqref="I8" showDropDown="0" showInputMessage="0" showErrorMessage="0" allowBlank="1" type="list">
      <formula1>"✅ Passé,❌ Échoué,⚠️ Bloqué,▶️ En cours,⬜ Non exécuté"</formula1>
    </dataValidation>
    <dataValidation sqref="B8" showDropDown="0" showInputMessage="0" showErrorMessage="0" allowBlank="1" type="list">
      <formula1>"P1 — Critique,P2 — Haute,P3 — Moyenne,P4 — Basse"</formula1>
    </dataValidation>
    <dataValidation sqref="P8" showDropDown="0" showInputMessage="0" showErrorMessage="0" allowBlank="1" type="list">
      <formula1>"Production,Preprod,Local"</formula1>
    </dataValidation>
    <dataValidation sqref="I9" showDropDown="0" showInputMessage="0" showErrorMessage="0" allowBlank="1" type="list">
      <formula1>"✅ Passé,❌ Échoué,⚠️ Bloqué,▶️ En cours,⬜ Non exécuté"</formula1>
    </dataValidation>
    <dataValidation sqref="B9" showDropDown="0" showInputMessage="0" showErrorMessage="0" allowBlank="1" type="list">
      <formula1>"P1 — Critique,P2 — Haute,P3 — Moyenne,P4 — Basse"</formula1>
    </dataValidation>
    <dataValidation sqref="P9" showDropDown="0" showInputMessage="0" showErrorMessage="0" allowBlank="1" type="list">
      <formula1>"Production,Preprod,Local"</formula1>
    </dataValidation>
    <dataValidation sqref="I10" showDropDown="0" showInputMessage="0" showErrorMessage="0" allowBlank="1" type="list">
      <formula1>"✅ Passé,❌ Échoué,⚠️ Bloqué,▶️ En cours,⬜ Non exécuté"</formula1>
    </dataValidation>
    <dataValidation sqref="B10" showDropDown="0" showInputMessage="0" showErrorMessage="0" allowBlank="1" type="list">
      <formula1>"P1 — Critique,P2 — Haute,P3 — Moyenne,P4 — Basse"</formula1>
    </dataValidation>
    <dataValidation sqref="P10" showDropDown="0" showInputMessage="0" showErrorMessage="0" allowBlank="1" type="list">
      <formula1>"Production,Preprod,Local"</formula1>
    </dataValidation>
    <dataValidation sqref="I11" showDropDown="0" showInputMessage="0" showErrorMessage="0" allowBlank="1" type="list">
      <formula1>"✅ Passé,❌ Échoué,⚠️ Bloqué,▶️ En cours,⬜ Non exécuté"</formula1>
    </dataValidation>
    <dataValidation sqref="B11" showDropDown="0" showInputMessage="0" showErrorMessage="0" allowBlank="1" type="list">
      <formula1>"P1 — Critique,P2 — Haute,P3 — Moyenne,P4 — Basse"</formula1>
    </dataValidation>
    <dataValidation sqref="P11" showDropDown="0" showInputMessage="0" showErrorMessage="0" allowBlank="1" type="list">
      <formula1>"Production,Preprod,Local"</formula1>
    </dataValidation>
    <dataValidation sqref="I12" showDropDown="0" showInputMessage="0" showErrorMessage="0" allowBlank="1" type="list">
      <formula1>"✅ Passé,❌ Échoué,⚠️ Bloqué,▶️ En cours,⬜ Non exécuté"</formula1>
    </dataValidation>
    <dataValidation sqref="B12" showDropDown="0" showInputMessage="0" showErrorMessage="0" allowBlank="1" type="list">
      <formula1>"P1 — Critique,P2 — Haute,P3 — Moyenne,P4 — Basse"</formula1>
    </dataValidation>
    <dataValidation sqref="P12" showDropDown="0" showInputMessage="0" showErrorMessage="0" allowBlank="1" type="list">
      <formula1>"Production,Preprod,Local"</formula1>
    </dataValidation>
    <dataValidation sqref="I13" showDropDown="0" showInputMessage="0" showErrorMessage="0" allowBlank="1" type="list">
      <formula1>"✅ Passé,❌ Échoué,⚠️ Bloqué,▶️ En cours,⬜ Non exécuté"</formula1>
    </dataValidation>
    <dataValidation sqref="B13" showDropDown="0" showInputMessage="0" showErrorMessage="0" allowBlank="1" type="list">
      <formula1>"P1 — Critique,P2 — Haute,P3 — Moyenne,P4 — Basse"</formula1>
    </dataValidation>
    <dataValidation sqref="P13" showDropDown="0" showInputMessage="0" showErrorMessage="0" allowBlank="1" type="list">
      <formula1>"Production,Preprod,Local"</formula1>
    </dataValidation>
    <dataValidation sqref="I14" showDropDown="0" showInputMessage="0" showErrorMessage="0" allowBlank="1" type="list">
      <formula1>"✅ Passé,❌ Échoué,⚠️ Bloqué,▶️ En cours,⬜ Non exécuté"</formula1>
    </dataValidation>
    <dataValidation sqref="B14" showDropDown="0" showInputMessage="0" showErrorMessage="0" allowBlank="1" type="list">
      <formula1>"P1 — Critique,P2 — Haute,P3 — Moyenne,P4 — Basse"</formula1>
    </dataValidation>
    <dataValidation sqref="P14" showDropDown="0" showInputMessage="0" showErrorMessage="0" allowBlank="1" type="list">
      <formula1>"Production,Preprod,Local"</formula1>
    </dataValidation>
    <dataValidation sqref="I15" showDropDown="0" showInputMessage="0" showErrorMessage="0" allowBlank="1" type="list">
      <formula1>"✅ Passé,❌ Échoué,⚠️ Bloqué,▶️ En cours,⬜ Non exécuté"</formula1>
    </dataValidation>
    <dataValidation sqref="B15" showDropDown="0" showInputMessage="0" showErrorMessage="0" allowBlank="1" type="list">
      <formula1>"P1 — Critique,P2 — Haute,P3 — Moyenne,P4 — Basse"</formula1>
    </dataValidation>
    <dataValidation sqref="P15" showDropDown="0" showInputMessage="0" showErrorMessage="0" allowBlank="1" type="list">
      <formula1>"Production,Preprod,Local"</formula1>
    </dataValidation>
    <dataValidation sqref="I16" showDropDown="0" showInputMessage="0" showErrorMessage="0" allowBlank="1" type="list">
      <formula1>"✅ Passé,❌ Échoué,⚠️ Bloqué,▶️ En cours,⬜ Non exécuté"</formula1>
    </dataValidation>
    <dataValidation sqref="B16" showDropDown="0" showInputMessage="0" showErrorMessage="0" allowBlank="1" type="list">
      <formula1>"P1 — Critique,P2 — Haute,P3 — Moyenne,P4 — Basse"</formula1>
    </dataValidation>
    <dataValidation sqref="P16" showDropDown="0" showInputMessage="0" showErrorMessage="0" allowBlank="1" type="list">
      <formula1>"Production,Preprod,Local"</formula1>
    </dataValidation>
    <dataValidation sqref="I17" showDropDown="0" showInputMessage="0" showErrorMessage="0" allowBlank="1" type="list">
      <formula1>"✅ Passé,❌ Échoué,⚠️ Bloqué,▶️ En cours,⬜ Non exécuté"</formula1>
    </dataValidation>
    <dataValidation sqref="B17" showDropDown="0" showInputMessage="0" showErrorMessage="0" allowBlank="1" type="list">
      <formula1>"P1 — Critique,P2 — Haute,P3 — Moyenne,P4 — Basse"</formula1>
    </dataValidation>
    <dataValidation sqref="P17" showDropDown="0" showInputMessage="0" showErrorMessage="0" allowBlank="1" type="list">
      <formula1>"Production,Preprod,Local"</formula1>
    </dataValidation>
    <dataValidation sqref="I18" showDropDown="0" showInputMessage="0" showErrorMessage="0" allowBlank="1" type="list">
      <formula1>"✅ Passé,❌ Échoué,⚠️ Bloqué,▶️ En cours,⬜ Non exécuté"</formula1>
    </dataValidation>
    <dataValidation sqref="B18" showDropDown="0" showInputMessage="0" showErrorMessage="0" allowBlank="1" type="list">
      <formula1>"P1 — Critique,P2 — Haute,P3 — Moyenne,P4 — Basse"</formula1>
    </dataValidation>
    <dataValidation sqref="P18" showDropDown="0" showInputMessage="0" showErrorMessage="0" allowBlank="1" type="list">
      <formula1>"Production,Preprod,Local"</formula1>
    </dataValidation>
    <dataValidation sqref="I19" showDropDown="0" showInputMessage="0" showErrorMessage="0" allowBlank="1" type="list">
      <formula1>"✅ Passé,❌ Échoué,⚠️ Bloqué,▶️ En cours,⬜ Non exécuté"</formula1>
    </dataValidation>
    <dataValidation sqref="B19" showDropDown="0" showInputMessage="0" showErrorMessage="0" allowBlank="1" type="list">
      <formula1>"P1 — Critique,P2 — Haute,P3 — Moyenne,P4 — Basse"</formula1>
    </dataValidation>
    <dataValidation sqref="P19" showDropDown="0" showInputMessage="0" showErrorMessage="0" allowBlank="1" type="list">
      <formula1>"Production,Preprod,Local"</formula1>
    </dataValidation>
    <dataValidation sqref="I20" showDropDown="0" showInputMessage="0" showErrorMessage="0" allowBlank="1" type="list">
      <formula1>"✅ Passé,❌ Échoué,⚠️ Bloqué,▶️ En cours,⬜ Non exécuté"</formula1>
    </dataValidation>
    <dataValidation sqref="B20" showDropDown="0" showInputMessage="0" showErrorMessage="0" allowBlank="1" type="list">
      <formula1>"P1 — Critique,P2 — Haute,P3 — Moyenne,P4 — Basse"</formula1>
    </dataValidation>
    <dataValidation sqref="P20" showDropDown="0" showInputMessage="0" showErrorMessage="0" allowBlank="1" type="list">
      <formula1>"Production,Preprod,Local"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P11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38" customWidth="1" min="3" max="3"/>
    <col width="32" customWidth="1" min="4" max="4"/>
    <col width="30" customWidth="1" min="5" max="5"/>
    <col width="40" customWidth="1" min="6" max="6"/>
    <col width="38" customWidth="1" min="7" max="7"/>
    <col width="38" customWidth="1" min="8" max="8"/>
    <col width="18" customWidth="1" min="9" max="9"/>
    <col width="16" customWidth="1" min="10" max="10"/>
    <col width="13" customWidth="1" min="11" max="11"/>
    <col width="12" customWidth="1" min="12" max="12"/>
    <col width="24" customWidth="1" min="13" max="13"/>
    <col width="36" customWidth="1" min="14" max="14"/>
    <col width="10" customWidth="1" min="15" max="15"/>
    <col width="12" customWidth="1" min="16" max="16"/>
  </cols>
  <sheetData>
    <row r="1" ht="26" customHeight="1">
      <c r="A1" s="56" t="inlineStr">
        <is>
          <t xml:space="preserve">  SOURCING IA MULTI-PAYS AFRIQUE  ·  9 scénarios</t>
        </is>
      </c>
    </row>
    <row r="2" ht="22" customHeight="1">
      <c r="A2" s="39" t="inlineStr">
        <is>
          <t>ID Test</t>
        </is>
      </c>
      <c r="B2" s="39" t="inlineStr">
        <is>
          <t>Priorité</t>
        </is>
      </c>
      <c r="C2" s="39" t="inlineStr">
        <is>
          <t>Titre du scénario</t>
        </is>
      </c>
      <c r="D2" s="39" t="inlineStr">
        <is>
          <t>Description / Contexte</t>
        </is>
      </c>
      <c r="E2" s="39" t="inlineStr">
        <is>
          <t>Prérequis / Données</t>
        </is>
      </c>
      <c r="F2" s="39" t="inlineStr">
        <is>
          <t>Étapes détaillées</t>
        </is>
      </c>
      <c r="G2" s="39" t="inlineStr">
        <is>
          <t>Résultat attendu</t>
        </is>
      </c>
      <c r="H2" s="39" t="inlineStr">
        <is>
          <t>Résultat obtenu</t>
        </is>
      </c>
      <c r="I2" s="39" t="inlineStr">
        <is>
          <t>Statut</t>
        </is>
      </c>
      <c r="J2" s="39" t="inlineStr">
        <is>
          <t>Testeur</t>
        </is>
      </c>
      <c r="K2" s="39" t="inlineStr">
        <is>
          <t>Date test</t>
        </is>
      </c>
      <c r="L2" s="39" t="inlineStr">
        <is>
          <t>Durée (min)</t>
        </is>
      </c>
      <c r="M2" s="39" t="inlineStr">
        <is>
          <t>Ticket / Requalification</t>
        </is>
      </c>
      <c r="N2" s="39" t="inlineStr">
        <is>
          <t>Commentaire / Amélioration</t>
        </is>
      </c>
      <c r="O2" s="39" t="inlineStr">
        <is>
          <t>Sprint</t>
        </is>
      </c>
      <c r="P2" s="39" t="inlineStr">
        <is>
          <t>Env.</t>
        </is>
      </c>
    </row>
    <row r="3" ht="58" customHeight="1">
      <c r="A3" s="57" t="inlineStr">
        <is>
          <t>SRC-001</t>
        </is>
      </c>
      <c r="B3" s="40" t="inlineStr">
        <is>
          <t>P1 — Critique</t>
        </is>
      </c>
      <c r="C3" s="41" t="inlineStr">
        <is>
          <t>Endpoint POST /jobs/:id/source — Claude seul</t>
        </is>
      </c>
      <c r="D3" s="41" t="inlineStr">
        <is>
          <t>Génération de profils synthétiques via Claude</t>
        </is>
      </c>
      <c r="E3" s="41" t="inlineStr">
        <is>
          <t>ANTHROPIC_API_KEY configuré, offre ouverte</t>
        </is>
      </c>
      <c r="F3" s="41" t="inlineStr">
        <is>
          <t>1. POST /api/recruitment/jobs/{id}/source
2. Body: { model:'claude', countries:['CI'], platforms:['LinkedIn','Africawork'], max_profiles:5 }</t>
        </is>
      </c>
      <c r="G3" s="41" t="inlineStr">
        <is>
          <t>200 OK, data.profiles[] de 5 profils + strategy. meta.provider='claude', estimatedCostEur calculé. Audit log inséré</t>
        </is>
      </c>
      <c r="H3" s="41" t="inlineStr"/>
      <c r="I3" s="42" t="inlineStr">
        <is>
          <t>⬜ Non exécuté</t>
        </is>
      </c>
      <c r="J3" s="41" t="inlineStr"/>
      <c r="K3" s="41" t="inlineStr"/>
      <c r="L3" s="41" t="inlineStr"/>
      <c r="M3" s="41" t="inlineStr"/>
      <c r="N3" s="41" t="inlineStr"/>
      <c r="O3" s="41" t="inlineStr">
        <is>
          <t>Sprint 1</t>
        </is>
      </c>
      <c r="P3" s="41" t="inlineStr">
        <is>
          <t>Production</t>
        </is>
      </c>
    </row>
    <row r="4" ht="58" customHeight="1">
      <c r="A4" s="57" t="inlineStr">
        <is>
          <t>SRC-002</t>
        </is>
      </c>
      <c r="B4" s="40" t="inlineStr">
        <is>
          <t>P1 — Critique</t>
        </is>
      </c>
      <c r="C4" s="43" t="inlineStr">
        <is>
          <t>Endpoint POST /jobs/:id/source/compare — Claude vs Mistral</t>
        </is>
      </c>
      <c r="D4" s="43" t="inlineStr">
        <is>
          <t>Appels parallèles + métriques</t>
        </is>
      </c>
      <c r="E4" s="43" t="inlineStr">
        <is>
          <t>Les 2 clés IA configurées</t>
        </is>
      </c>
      <c r="F4" s="43" t="inlineStr">
        <is>
          <t>1. POST /api/recruitment/jobs/{id}/source/compare
2. Body: { countries:['CI','SN'], max_profiles:3 }</t>
        </is>
      </c>
      <c r="G4" s="43" t="inlineStr">
        <is>
          <t>200 OK, comparison.winner = claude|mistral. ratios.latency/cost/richness retournés. recommendation textuelle</t>
        </is>
      </c>
      <c r="H4" s="43" t="inlineStr"/>
      <c r="I4" s="42" t="inlineStr">
        <is>
          <t>⬜ Non exécuté</t>
        </is>
      </c>
      <c r="J4" s="43" t="inlineStr"/>
      <c r="K4" s="43" t="inlineStr"/>
      <c r="L4" s="43" t="inlineStr"/>
      <c r="M4" s="43" t="inlineStr"/>
      <c r="N4" s="43" t="inlineStr"/>
      <c r="O4" s="43" t="inlineStr">
        <is>
          <t>Sprint 1</t>
        </is>
      </c>
      <c r="P4" s="43" t="inlineStr">
        <is>
          <t>Production</t>
        </is>
      </c>
    </row>
    <row r="5" ht="58" customHeight="1">
      <c r="A5" s="57" t="inlineStr">
        <is>
          <t>SRC-003</t>
        </is>
      </c>
      <c r="B5" s="40" t="inlineStr">
        <is>
          <t>P1 — Critique</t>
        </is>
      </c>
      <c r="C5" s="41" t="inlineStr">
        <is>
          <t>Rate-limit sourcing — 6 requêtes/min</t>
        </is>
      </c>
      <c r="D5" s="41" t="inlineStr">
        <is>
          <t>Protection coût IA (OWASP A05)</t>
        </is>
      </c>
      <c r="E5" s="41" t="inlineStr"/>
      <c r="F5" s="41" t="inlineStr">
        <is>
          <t>1. Boucler 7 fois POST /jobs/:id/source en moins d'1 minute</t>
        </is>
      </c>
      <c r="G5" s="41" t="inlineStr">
        <is>
          <t>Les 6 premières passent, la 7e retourne 429 Too Many Requests</t>
        </is>
      </c>
      <c r="H5" s="41" t="inlineStr"/>
      <c r="I5" s="42" t="inlineStr">
        <is>
          <t>⬜ Non exécuté</t>
        </is>
      </c>
      <c r="J5" s="41" t="inlineStr"/>
      <c r="K5" s="41" t="inlineStr"/>
      <c r="L5" s="41" t="inlineStr"/>
      <c r="M5" s="41" t="inlineStr"/>
      <c r="N5" s="41" t="inlineStr"/>
      <c r="O5" s="41" t="inlineStr">
        <is>
          <t>Sprint 1</t>
        </is>
      </c>
      <c r="P5" s="41" t="inlineStr">
        <is>
          <t>Production</t>
        </is>
      </c>
    </row>
    <row r="6" ht="58" customHeight="1">
      <c r="A6" s="57" t="inlineStr">
        <is>
          <t>SRC-004</t>
        </is>
      </c>
      <c r="B6" s="40" t="inlineStr">
        <is>
          <t>P1 — Critique</t>
        </is>
      </c>
      <c r="C6" s="43" t="inlineStr">
        <is>
          <t>Endpoint GET /jobs/:id/sourced-profiles</t>
        </is>
      </c>
      <c r="D6" s="43" t="inlineStr">
        <is>
          <t>Liste cache des profils générés pour une offre</t>
        </is>
      </c>
      <c r="E6" s="43" t="inlineStr">
        <is>
          <t>Profils en cache (seed ou générés)</t>
        </is>
      </c>
      <c r="F6" s="43" t="inlineStr">
        <is>
          <t>1. GET /api/recruitment/jobs/{id}/sourced-profiles</t>
        </is>
      </c>
      <c r="G6" s="43" t="inlineStr">
        <is>
          <t>200 OK, tableau ordonné par match_score DESC. Profils transférés et non-transférés inclus, distinguables par transferred_to_application_id</t>
        </is>
      </c>
      <c r="H6" s="43" t="inlineStr"/>
      <c r="I6" s="42" t="inlineStr">
        <is>
          <t>⬜ Non exécuté</t>
        </is>
      </c>
      <c r="J6" s="43" t="inlineStr"/>
      <c r="K6" s="43" t="inlineStr"/>
      <c r="L6" s="43" t="inlineStr"/>
      <c r="M6" s="43" t="inlineStr"/>
      <c r="N6" s="43" t="inlineStr"/>
      <c r="O6" s="43" t="inlineStr">
        <is>
          <t>Sprint 1</t>
        </is>
      </c>
      <c r="P6" s="43" t="inlineStr">
        <is>
          <t>Production</t>
        </is>
      </c>
    </row>
    <row r="7" ht="58" customHeight="1">
      <c r="A7" s="57" t="inlineStr">
        <is>
          <t>SRC-005</t>
        </is>
      </c>
      <c r="B7" s="40" t="inlineStr">
        <is>
          <t>P1 — Critique</t>
        </is>
      </c>
      <c r="C7" s="41" t="inlineStr">
        <is>
          <t>Endpoint transfer-all transactionnel</t>
        </is>
      </c>
      <c r="D7" s="41" t="inlineStr">
        <is>
          <t>Tous les profils non transférés transférés en une transaction</t>
        </is>
      </c>
      <c r="E7" s="41" t="inlineStr">
        <is>
          <t>≥1 profil non transféré</t>
        </is>
      </c>
      <c r="F7" s="41" t="inlineStr">
        <is>
          <t>1. POST /api/recruitment/jobs/{id}/sourced-profiles/transfer-all
2. Vérifier en DB</t>
        </is>
      </c>
      <c r="G7" s="41" t="inlineStr">
        <is>
          <t>Réponse data.transferred = N. Chaque profil a transferred_to_application_id. N candidatures créées (source=sourced_ai)</t>
        </is>
      </c>
      <c r="H7" s="41" t="inlineStr"/>
      <c r="I7" s="42" t="inlineStr">
        <is>
          <t>⬜ Non exécuté</t>
        </is>
      </c>
      <c r="J7" s="41" t="inlineStr"/>
      <c r="K7" s="41" t="inlineStr"/>
      <c r="L7" s="41" t="inlineStr"/>
      <c r="M7" s="41" t="inlineStr"/>
      <c r="N7" s="41" t="inlineStr"/>
      <c r="O7" s="41" t="inlineStr">
        <is>
          <t>Sprint 1</t>
        </is>
      </c>
      <c r="P7" s="41" t="inlineStr">
        <is>
          <t>Production</t>
        </is>
      </c>
    </row>
    <row r="8" ht="58" customHeight="1">
      <c r="A8" s="57" t="inlineStr">
        <is>
          <t>SRC-006</t>
        </is>
      </c>
      <c r="B8" s="44" t="inlineStr">
        <is>
          <t>P2 — Haute</t>
        </is>
      </c>
      <c r="C8" s="43" t="inlineStr">
        <is>
          <t>Idempotence transfert unique (409)</t>
        </is>
      </c>
      <c r="D8" s="43" t="inlineStr">
        <is>
          <t>Tenter de transférer 2x le même profil</t>
        </is>
      </c>
      <c r="E8" s="43" t="inlineStr">
        <is>
          <t>Profil déjà transféré</t>
        </is>
      </c>
      <c r="F8" s="43" t="inlineStr">
        <is>
          <t>1. POST /api/recruitment/jobs/{id}/sourced-profiles/{profileId}/transfer
2. Re-POST sur le même profileId</t>
        </is>
      </c>
      <c r="G8" s="43" t="inlineStr">
        <is>
          <t>1er appel: 201 Created avec applicationId. 2e appel: 409 Conflict avec applicationId existant</t>
        </is>
      </c>
      <c r="H8" s="43" t="inlineStr"/>
      <c r="I8" s="42" t="inlineStr">
        <is>
          <t>⬜ Non exécuté</t>
        </is>
      </c>
      <c r="J8" s="43" t="inlineStr"/>
      <c r="K8" s="43" t="inlineStr"/>
      <c r="L8" s="43" t="inlineStr"/>
      <c r="M8" s="43" t="inlineStr"/>
      <c r="N8" s="43" t="inlineStr"/>
      <c r="O8" s="43" t="inlineStr">
        <is>
          <t>Sprint 1</t>
        </is>
      </c>
      <c r="P8" s="43" t="inlineStr">
        <is>
          <t>Production</t>
        </is>
      </c>
    </row>
    <row r="9" ht="58" customHeight="1">
      <c r="A9" s="57" t="inlineStr">
        <is>
          <t>SRC-007</t>
        </is>
      </c>
      <c r="B9" s="44" t="inlineStr">
        <is>
          <t>P2 — Haute</t>
        </is>
      </c>
      <c r="C9" s="41" t="inlineStr">
        <is>
          <t>RBAC sourcing — employee 403</t>
        </is>
      </c>
      <c r="D9" s="41" t="inlineStr">
        <is>
          <t>Un employee ne peut pas lancer un sourcing</t>
        </is>
      </c>
      <c r="E9" s="41" t="inlineStr">
        <is>
          <t>Token employe@sotra.ci</t>
        </is>
      </c>
      <c r="F9" s="41" t="inlineStr">
        <is>
          <t>1. POST /jobs/:id/source avec token employee</t>
        </is>
      </c>
      <c r="G9" s="41" t="inlineStr">
        <is>
          <t>403 Forbidden</t>
        </is>
      </c>
      <c r="H9" s="41" t="inlineStr"/>
      <c r="I9" s="42" t="inlineStr">
        <is>
          <t>⬜ Non exécuté</t>
        </is>
      </c>
      <c r="J9" s="41" t="inlineStr"/>
      <c r="K9" s="41" t="inlineStr"/>
      <c r="L9" s="41" t="inlineStr"/>
      <c r="M9" s="41" t="inlineStr"/>
      <c r="N9" s="41" t="inlineStr"/>
      <c r="O9" s="41" t="inlineStr">
        <is>
          <t>Sprint 1</t>
        </is>
      </c>
      <c r="P9" s="41" t="inlineStr">
        <is>
          <t>Production</t>
        </is>
      </c>
    </row>
    <row r="10" ht="58" customHeight="1">
      <c r="A10" s="57" t="inlineStr">
        <is>
          <t>SRC-008</t>
        </is>
      </c>
      <c r="B10" s="40" t="inlineStr">
        <is>
          <t>P1 — Critique</t>
        </is>
      </c>
      <c r="C10" s="43" t="inlineStr">
        <is>
          <t>Devise auto par pays cible</t>
        </is>
      </c>
      <c r="D10" s="43" t="inlineStr">
        <is>
          <t>Le prompt et les profils utilisent la bonne devise selon le pays</t>
        </is>
      </c>
      <c r="E10" s="43" t="inlineStr"/>
      <c r="F10" s="43" t="inlineStr">
        <is>
          <t>1. Lancer sourcing avec countries=['NG']
2. Vérifier les estimatedSalary</t>
        </is>
      </c>
      <c r="G10" s="43" t="inlineStr">
        <is>
          <t>Profils retournés avec estimatedSalaryCurrency='NGN' (Nigeria). Pour countries=['CI'] → XOF. Pour CM/TD → XAF</t>
        </is>
      </c>
      <c r="H10" s="43" t="inlineStr"/>
      <c r="I10" s="42" t="inlineStr">
        <is>
          <t>⬜ Non exécuté</t>
        </is>
      </c>
      <c r="J10" s="43" t="inlineStr"/>
      <c r="K10" s="43" t="inlineStr"/>
      <c r="L10" s="43" t="inlineStr"/>
      <c r="M10" s="43" t="inlineStr"/>
      <c r="N10" s="43" t="inlineStr"/>
      <c r="O10" s="43" t="inlineStr">
        <is>
          <t>Sprint 1</t>
        </is>
      </c>
      <c r="P10" s="43" t="inlineStr">
        <is>
          <t>Production</t>
        </is>
      </c>
    </row>
    <row r="11" ht="58" customHeight="1">
      <c r="A11" s="57" t="inlineStr">
        <is>
          <t>SRC-009</t>
        </is>
      </c>
      <c r="B11" s="40" t="inlineStr">
        <is>
          <t>P1 — Critique</t>
        </is>
      </c>
      <c r="C11" s="41" t="inlineStr">
        <is>
          <t>Score de richesse (computeSourcingRichness)</t>
        </is>
      </c>
      <c r="D11" s="41" t="inlineStr">
        <is>
          <t>Métrique 0-100 sur la qualité de la réponse IA</t>
        </is>
      </c>
      <c r="E11" s="41" t="inlineStr"/>
      <c r="F11" s="41" t="inlineStr">
        <is>
          <t>1. Générer un sourcing
2. Vérifier meta.richnessScore</t>
        </is>
      </c>
      <c r="G11" s="41" t="inlineStr">
        <is>
          <t>Score &gt;0 si profils + strategy. ≥70 si réponse riche (5+ profils, bestPlatforms 2+, boolean search, salary benchmark)</t>
        </is>
      </c>
      <c r="H11" s="41" t="inlineStr"/>
      <c r="I11" s="42" t="inlineStr">
        <is>
          <t>⬜ Non exécuté</t>
        </is>
      </c>
      <c r="J11" s="41" t="inlineStr"/>
      <c r="K11" s="41" t="inlineStr"/>
      <c r="L11" s="41" t="inlineStr"/>
      <c r="M11" s="41" t="inlineStr"/>
      <c r="N11" s="41" t="inlineStr"/>
      <c r="O11" s="41" t="inlineStr">
        <is>
          <t>Sprint 1</t>
        </is>
      </c>
      <c r="P11" s="41" t="inlineStr">
        <is>
          <t>Production</t>
        </is>
      </c>
    </row>
  </sheetData>
  <mergeCells count="1">
    <mergeCell ref="A1:P1"/>
  </mergeCells>
  <conditionalFormatting sqref="A3:P11">
    <cfRule type="expression" priority="1" dxfId="0">
      <formula>$I3="✅ Passé"</formula>
    </cfRule>
    <cfRule type="expression" priority="2" dxfId="1">
      <formula>$I3="❌ Échoué"</formula>
    </cfRule>
    <cfRule type="expression" priority="3" dxfId="2">
      <formula>$I3="⚠️ Bloqué"</formula>
    </cfRule>
    <cfRule type="expression" priority="4" dxfId="3">
      <formula>$I3="▶️ En cours"</formula>
    </cfRule>
    <cfRule type="expression" priority="5" dxfId="4">
      <formula>$I3="⬜ Non exécuté"</formula>
    </cfRule>
  </conditionalFormatting>
  <dataValidations count="27">
    <dataValidation sqref="I3" showDropDown="0" showInputMessage="0" showErrorMessage="0" allowBlank="1" type="list">
      <formula1>"✅ Passé,❌ Échoué,⚠️ Bloqué,▶️ En cours,⬜ Non exécuté"</formula1>
    </dataValidation>
    <dataValidation sqref="B3" showDropDown="0" showInputMessage="0" showErrorMessage="0" allowBlank="1" type="list">
      <formula1>"P1 — Critique,P2 — Haute,P3 — Moyenne,P4 — Basse"</formula1>
    </dataValidation>
    <dataValidation sqref="P3" showDropDown="0" showInputMessage="0" showErrorMessage="0" allowBlank="1" type="list">
      <formula1>"Production,Preprod,Local"</formula1>
    </dataValidation>
    <dataValidation sqref="I4" showDropDown="0" showInputMessage="0" showErrorMessage="0" allowBlank="1" type="list">
      <formula1>"✅ Passé,❌ Échoué,⚠️ Bloqué,▶️ En cours,⬜ Non exécuté"</formula1>
    </dataValidation>
    <dataValidation sqref="B4" showDropDown="0" showInputMessage="0" showErrorMessage="0" allowBlank="1" type="list">
      <formula1>"P1 — Critique,P2 — Haute,P3 — Moyenne,P4 — Basse"</formula1>
    </dataValidation>
    <dataValidation sqref="P4" showDropDown="0" showInputMessage="0" showErrorMessage="0" allowBlank="1" type="list">
      <formula1>"Production,Preprod,Local"</formula1>
    </dataValidation>
    <dataValidation sqref="I5" showDropDown="0" showInputMessage="0" showErrorMessage="0" allowBlank="1" type="list">
      <formula1>"✅ Passé,❌ Échoué,⚠️ Bloqué,▶️ En cours,⬜ Non exécuté"</formula1>
    </dataValidation>
    <dataValidation sqref="B5" showDropDown="0" showInputMessage="0" showErrorMessage="0" allowBlank="1" type="list">
      <formula1>"P1 — Critique,P2 — Haute,P3 — Moyenne,P4 — Basse"</formula1>
    </dataValidation>
    <dataValidation sqref="P5" showDropDown="0" showInputMessage="0" showErrorMessage="0" allowBlank="1" type="list">
      <formula1>"Production,Preprod,Local"</formula1>
    </dataValidation>
    <dataValidation sqref="I6" showDropDown="0" showInputMessage="0" showErrorMessage="0" allowBlank="1" type="list">
      <formula1>"✅ Passé,❌ Échoué,⚠️ Bloqué,▶️ En cours,⬜ Non exécuté"</formula1>
    </dataValidation>
    <dataValidation sqref="B6" showDropDown="0" showInputMessage="0" showErrorMessage="0" allowBlank="1" type="list">
      <formula1>"P1 — Critique,P2 — Haute,P3 — Moyenne,P4 — Basse"</formula1>
    </dataValidation>
    <dataValidation sqref="P6" showDropDown="0" showInputMessage="0" showErrorMessage="0" allowBlank="1" type="list">
      <formula1>"Production,Preprod,Local"</formula1>
    </dataValidation>
    <dataValidation sqref="I7" showDropDown="0" showInputMessage="0" showErrorMessage="0" allowBlank="1" type="list">
      <formula1>"✅ Passé,❌ Échoué,⚠️ Bloqué,▶️ En cours,⬜ Non exécuté"</formula1>
    </dataValidation>
    <dataValidation sqref="B7" showDropDown="0" showInputMessage="0" showErrorMessage="0" allowBlank="1" type="list">
      <formula1>"P1 — Critique,P2 — Haute,P3 — Moyenne,P4 — Basse"</formula1>
    </dataValidation>
    <dataValidation sqref="P7" showDropDown="0" showInputMessage="0" showErrorMessage="0" allowBlank="1" type="list">
      <formula1>"Production,Preprod,Local"</formula1>
    </dataValidation>
    <dataValidation sqref="I8" showDropDown="0" showInputMessage="0" showErrorMessage="0" allowBlank="1" type="list">
      <formula1>"✅ Passé,❌ Échoué,⚠️ Bloqué,▶️ En cours,⬜ Non exécuté"</formula1>
    </dataValidation>
    <dataValidation sqref="B8" showDropDown="0" showInputMessage="0" showErrorMessage="0" allowBlank="1" type="list">
      <formula1>"P1 — Critique,P2 — Haute,P3 — Moyenne,P4 — Basse"</formula1>
    </dataValidation>
    <dataValidation sqref="P8" showDropDown="0" showInputMessage="0" showErrorMessage="0" allowBlank="1" type="list">
      <formula1>"Production,Preprod,Local"</formula1>
    </dataValidation>
    <dataValidation sqref="I9" showDropDown="0" showInputMessage="0" showErrorMessage="0" allowBlank="1" type="list">
      <formula1>"✅ Passé,❌ Échoué,⚠️ Bloqué,▶️ En cours,⬜ Non exécuté"</formula1>
    </dataValidation>
    <dataValidation sqref="B9" showDropDown="0" showInputMessage="0" showErrorMessage="0" allowBlank="1" type="list">
      <formula1>"P1 — Critique,P2 — Haute,P3 — Moyenne,P4 — Basse"</formula1>
    </dataValidation>
    <dataValidation sqref="P9" showDropDown="0" showInputMessage="0" showErrorMessage="0" allowBlank="1" type="list">
      <formula1>"Production,Preprod,Local"</formula1>
    </dataValidation>
    <dataValidation sqref="I10" showDropDown="0" showInputMessage="0" showErrorMessage="0" allowBlank="1" type="list">
      <formula1>"✅ Passé,❌ Échoué,⚠️ Bloqué,▶️ En cours,⬜ Non exécuté"</formula1>
    </dataValidation>
    <dataValidation sqref="B10" showDropDown="0" showInputMessage="0" showErrorMessage="0" allowBlank="1" type="list">
      <formula1>"P1 — Critique,P2 — Haute,P3 — Moyenne,P4 — Basse"</formula1>
    </dataValidation>
    <dataValidation sqref="P10" showDropDown="0" showInputMessage="0" showErrorMessage="0" allowBlank="1" type="list">
      <formula1>"Production,Preprod,Local"</formula1>
    </dataValidation>
    <dataValidation sqref="I11" showDropDown="0" showInputMessage="0" showErrorMessage="0" allowBlank="1" type="list">
      <formula1>"✅ Passé,❌ Échoué,⚠️ Bloqué,▶️ En cours,⬜ Non exécuté"</formula1>
    </dataValidation>
    <dataValidation sqref="B11" showDropDown="0" showInputMessage="0" showErrorMessage="0" allowBlank="1" type="list">
      <formula1>"P1 — Critique,P2 — Haute,P3 — Moyenne,P4 — Basse"</formula1>
    </dataValidation>
    <dataValidation sqref="P11" showDropDown="0" showInputMessage="0" showErrorMessage="0" allowBlank="1" type="list">
      <formula1>"Production,Preprod,Local"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P13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38" customWidth="1" min="3" max="3"/>
    <col width="32" customWidth="1" min="4" max="4"/>
    <col width="30" customWidth="1" min="5" max="5"/>
    <col width="40" customWidth="1" min="6" max="6"/>
    <col width="38" customWidth="1" min="7" max="7"/>
    <col width="38" customWidth="1" min="8" max="8"/>
    <col width="18" customWidth="1" min="9" max="9"/>
    <col width="16" customWidth="1" min="10" max="10"/>
    <col width="13" customWidth="1" min="11" max="11"/>
    <col width="12" customWidth="1" min="12" max="12"/>
    <col width="24" customWidth="1" min="13" max="13"/>
    <col width="36" customWidth="1" min="14" max="14"/>
    <col width="10" customWidth="1" min="15" max="15"/>
    <col width="12" customWidth="1" min="16" max="16"/>
  </cols>
  <sheetData>
    <row r="1" ht="26" customHeight="1">
      <c r="A1" s="50" t="inlineStr">
        <is>
          <t xml:space="preserve">  MULTI-PAYS &amp; FILIALES  ·  11 scénarios</t>
        </is>
      </c>
    </row>
    <row r="2" ht="22" customHeight="1">
      <c r="A2" s="39" t="inlineStr">
        <is>
          <t>ID Test</t>
        </is>
      </c>
      <c r="B2" s="39" t="inlineStr">
        <is>
          <t>Priorité</t>
        </is>
      </c>
      <c r="C2" s="39" t="inlineStr">
        <is>
          <t>Titre du scénario</t>
        </is>
      </c>
      <c r="D2" s="39" t="inlineStr">
        <is>
          <t>Description / Contexte</t>
        </is>
      </c>
      <c r="E2" s="39" t="inlineStr">
        <is>
          <t>Prérequis / Données</t>
        </is>
      </c>
      <c r="F2" s="39" t="inlineStr">
        <is>
          <t>Étapes détaillées</t>
        </is>
      </c>
      <c r="G2" s="39" t="inlineStr">
        <is>
          <t>Résultat attendu</t>
        </is>
      </c>
      <c r="H2" s="39" t="inlineStr">
        <is>
          <t>Résultat obtenu</t>
        </is>
      </c>
      <c r="I2" s="39" t="inlineStr">
        <is>
          <t>Statut</t>
        </is>
      </c>
      <c r="J2" s="39" t="inlineStr">
        <is>
          <t>Testeur</t>
        </is>
      </c>
      <c r="K2" s="39" t="inlineStr">
        <is>
          <t>Date test</t>
        </is>
      </c>
      <c r="L2" s="39" t="inlineStr">
        <is>
          <t>Durée (min)</t>
        </is>
      </c>
      <c r="M2" s="39" t="inlineStr">
        <is>
          <t>Ticket / Requalification</t>
        </is>
      </c>
      <c r="N2" s="39" t="inlineStr">
        <is>
          <t>Commentaire / Amélioration</t>
        </is>
      </c>
      <c r="O2" s="39" t="inlineStr">
        <is>
          <t>Sprint</t>
        </is>
      </c>
      <c r="P2" s="39" t="inlineStr">
        <is>
          <t>Env.</t>
        </is>
      </c>
    </row>
    <row r="3" ht="58" customHeight="1">
      <c r="A3" s="51" t="inlineStr">
        <is>
          <t>MPF-001</t>
        </is>
      </c>
      <c r="B3" s="40" t="inlineStr">
        <is>
          <t>P1 — Critique</t>
        </is>
      </c>
      <c r="C3" s="41" t="inlineStr">
        <is>
          <t>Activation tous packs côté super_admin</t>
        </is>
      </c>
      <c r="D3" s="41" t="inlineStr">
        <is>
          <t>Onglet Multi-législatif affiche les 11 pays actifs</t>
        </is>
      </c>
      <c r="E3" s="41" t="inlineStr">
        <is>
          <t>Super admin connecté</t>
        </is>
      </c>
      <c r="F3" s="41" t="inlineStr">
        <is>
          <t>1. /platform/settings
2. Onglet 'Multi-législatif'
3. Compter les cards 'Actif'</t>
        </is>
      </c>
      <c r="G3" s="41" t="inlineStr">
        <is>
          <t>11 cartes vert/Actif : CI/SN/BJ/TG/BF/ML/NE (UEMOA), CM/TD (CEMAC), NG/GH (CEDEAO). Drapeaux + badges zone + compteurs</t>
        </is>
      </c>
      <c r="H3" s="41" t="inlineStr"/>
      <c r="I3" s="42" t="inlineStr">
        <is>
          <t>⬜ Non exécuté</t>
        </is>
      </c>
      <c r="J3" s="41" t="inlineStr"/>
      <c r="K3" s="41" t="inlineStr"/>
      <c r="L3" s="41" t="inlineStr"/>
      <c r="M3" s="41" t="inlineStr"/>
      <c r="N3" s="41" t="inlineStr"/>
      <c r="O3" s="41" t="inlineStr">
        <is>
          <t>Sprint 1</t>
        </is>
      </c>
      <c r="P3" s="41" t="inlineStr">
        <is>
          <t>Production</t>
        </is>
      </c>
    </row>
    <row r="4" ht="58" customHeight="1">
      <c r="A4" s="51" t="inlineStr">
        <is>
          <t>MPF-002</t>
        </is>
      </c>
      <c r="B4" s="40" t="inlineStr">
        <is>
          <t>P1 — Critique</t>
        </is>
      </c>
      <c r="C4" s="43" t="inlineStr">
        <is>
          <t>Toggle has_subsidiaries sur tenant</t>
        </is>
      </c>
      <c r="D4" s="43" t="inlineStr">
        <is>
          <t>Activer l'option filiales sur un tenant existant</t>
        </is>
      </c>
      <c r="E4" s="43" t="inlineStr">
        <is>
          <t>Super admin</t>
        </is>
      </c>
      <c r="F4" s="43" t="inlineStr">
        <is>
          <t>1. /platform/tenants/{id}
2. Cocher 'A des filiales'
3. Sauver</t>
        </is>
      </c>
      <c r="G4" s="43" t="inlineStr">
        <is>
          <t>platform.tenants.has_subsidiaries = true. Le tenant peut désormais créer plusieurs legal_entities avec pays différents</t>
        </is>
      </c>
      <c r="H4" s="43" t="inlineStr"/>
      <c r="I4" s="42" t="inlineStr">
        <is>
          <t>⬜ Non exécuté</t>
        </is>
      </c>
      <c r="J4" s="43" t="inlineStr"/>
      <c r="K4" s="43" t="inlineStr"/>
      <c r="L4" s="43" t="inlineStr"/>
      <c r="M4" s="43" t="inlineStr"/>
      <c r="N4" s="43" t="inlineStr"/>
      <c r="O4" s="43" t="inlineStr">
        <is>
          <t>Sprint 1</t>
        </is>
      </c>
      <c r="P4" s="43" t="inlineStr">
        <is>
          <t>Production</t>
        </is>
      </c>
    </row>
    <row r="5" ht="58" customHeight="1">
      <c r="A5" s="51" t="inlineStr">
        <is>
          <t>MPF-003</t>
        </is>
      </c>
      <c r="B5" s="40" t="inlineStr">
        <is>
          <t>P1 — Critique</t>
        </is>
      </c>
      <c r="C5" s="41" t="inlineStr">
        <is>
          <t>Création filiale multi-pays</t>
        </is>
      </c>
      <c r="D5" s="41" t="inlineStr">
        <is>
          <t>Admin tenant crée une filiale avec pays + pack législatif</t>
        </is>
      </c>
      <c r="E5" s="41" t="inlineStr">
        <is>
          <t>Admin SOTRA connecté</t>
        </is>
      </c>
      <c r="F5" s="41" t="inlineStr">
        <is>
          <t>1. Paramètres → Entités juridiques
2. Nouvelle entité 'SOTRA Dakar'
3. Pays: Sénégal, pack auto sn_2024
4. CNPS, RCCM, AT 2%
5. Créer</t>
        </is>
      </c>
      <c r="G5" s="41" t="inlineStr">
        <is>
          <t>Filiale créée, country_code='SEN', legislation_pack_code='sn_2024'. Badge 'Filiale' visible si plusieurs entités</t>
        </is>
      </c>
      <c r="H5" s="41" t="inlineStr"/>
      <c r="I5" s="42" t="inlineStr">
        <is>
          <t>⬜ Non exécuté</t>
        </is>
      </c>
      <c r="J5" s="41" t="inlineStr"/>
      <c r="K5" s="41" t="inlineStr"/>
      <c r="L5" s="41" t="inlineStr"/>
      <c r="M5" s="41" t="inlineStr"/>
      <c r="N5" s="41" t="inlineStr"/>
      <c r="O5" s="41" t="inlineStr">
        <is>
          <t>Sprint 1</t>
        </is>
      </c>
      <c r="P5" s="41" t="inlineStr">
        <is>
          <t>Production</t>
        </is>
      </c>
    </row>
    <row r="6" ht="58" customHeight="1">
      <c r="A6" s="51" t="inlineStr">
        <is>
          <t>MPF-004</t>
        </is>
      </c>
      <c r="B6" s="44" t="inlineStr">
        <is>
          <t>P2 — Haute</t>
        </is>
      </c>
      <c r="C6" s="43" t="inlineStr">
        <is>
          <t>Édition filiale existante</t>
        </is>
      </c>
      <c r="D6" s="43" t="inlineStr">
        <is>
          <t>Modifier les infos d'une filiale (bouton ⚙)</t>
        </is>
      </c>
      <c r="E6" s="43" t="inlineStr">
        <is>
          <t>≥1 filiale créée</t>
        </is>
      </c>
      <c r="F6" s="43" t="inlineStr">
        <is>
          <t>1. Card filiale → bouton ⚙
2. Changer le pack législatif et l'AT
3. Enregistrer</t>
        </is>
      </c>
      <c r="G6" s="43" t="inlineStr">
        <is>
          <t>PATCH /settings/legal-entities/{id} 200 OK. Mise à jour visible dans la card</t>
        </is>
      </c>
      <c r="H6" s="43" t="inlineStr"/>
      <c r="I6" s="42" t="inlineStr">
        <is>
          <t>⬜ Non exécuté</t>
        </is>
      </c>
      <c r="J6" s="43" t="inlineStr"/>
      <c r="K6" s="43" t="inlineStr"/>
      <c r="L6" s="43" t="inlineStr"/>
      <c r="M6" s="43" t="inlineStr"/>
      <c r="N6" s="43" t="inlineStr"/>
      <c r="O6" s="43" t="inlineStr">
        <is>
          <t>Sprint 1</t>
        </is>
      </c>
      <c r="P6" s="43" t="inlineStr">
        <is>
          <t>Production</t>
        </is>
      </c>
    </row>
    <row r="7" ht="58" customHeight="1">
      <c r="A7" s="51" t="inlineStr">
        <is>
          <t>MPF-005</t>
        </is>
      </c>
      <c r="B7" s="40" t="inlineStr">
        <is>
          <t>P1 — Critique</t>
        </is>
      </c>
      <c r="C7" s="41" t="inlineStr">
        <is>
          <t>Rattachement employé → filiale</t>
        </is>
      </c>
      <c r="D7" s="41" t="inlineStr">
        <is>
          <t>Champ legal_entity_id dans la fiche employé</t>
        </is>
      </c>
      <c r="E7" s="41" t="inlineStr">
        <is>
          <t>≥2 filiales, 1 employé</t>
        </is>
      </c>
      <c r="F7" s="41" t="inlineStr">
        <is>
          <t>1. /employees/{id}
2. Champ 'Filiale' → sélectionner 'SOTRA Bouaké'
3. Sauver</t>
        </is>
      </c>
      <c r="G7" s="41" t="inlineStr">
        <is>
          <t>employees.legal_entity_id mis à jour. Compteur employés sur la card filiale incrémenté</t>
        </is>
      </c>
      <c r="H7" s="41" t="inlineStr"/>
      <c r="I7" s="42" t="inlineStr">
        <is>
          <t>⬜ Non exécuté</t>
        </is>
      </c>
      <c r="J7" s="41" t="inlineStr"/>
      <c r="K7" s="41" t="inlineStr"/>
      <c r="L7" s="41" t="inlineStr"/>
      <c r="M7" s="41" t="inlineStr"/>
      <c r="N7" s="41" t="inlineStr"/>
      <c r="O7" s="41" t="inlineStr">
        <is>
          <t>Sprint 1</t>
        </is>
      </c>
      <c r="P7" s="41" t="inlineStr">
        <is>
          <t>Production</t>
        </is>
      </c>
    </row>
    <row r="8" ht="58" customHeight="1">
      <c r="A8" s="51" t="inlineStr">
        <is>
          <t>MPF-006</t>
        </is>
      </c>
      <c r="B8" s="40" t="inlineStr">
        <is>
          <t>P1 — Critique</t>
        </is>
      </c>
      <c r="C8" s="43" t="inlineStr">
        <is>
          <t>Suppression filiale avec employés actifs → 409</t>
        </is>
      </c>
      <c r="D8" s="43" t="inlineStr">
        <is>
          <t>Garde-fou : impossible de supprimer une filiale avec employés</t>
        </is>
      </c>
      <c r="E8" s="43" t="inlineStr">
        <is>
          <t>Filiale avec ≥1 employé actif</t>
        </is>
      </c>
      <c r="F8" s="43" t="inlineStr">
        <is>
          <t>1. Tenter DELETE /settings/legal-entities/{id}</t>
        </is>
      </c>
      <c r="G8" s="43" t="inlineStr">
        <is>
          <t>409 Conflict avec message 'Cette entite a des employes actifs'</t>
        </is>
      </c>
      <c r="H8" s="43" t="inlineStr"/>
      <c r="I8" s="42" t="inlineStr">
        <is>
          <t>⬜ Non exécuté</t>
        </is>
      </c>
      <c r="J8" s="43" t="inlineStr"/>
      <c r="K8" s="43" t="inlineStr"/>
      <c r="L8" s="43" t="inlineStr"/>
      <c r="M8" s="43" t="inlineStr"/>
      <c r="N8" s="43" t="inlineStr"/>
      <c r="O8" s="43" t="inlineStr">
        <is>
          <t>Sprint 1</t>
        </is>
      </c>
      <c r="P8" s="43" t="inlineStr">
        <is>
          <t>Production</t>
        </is>
      </c>
    </row>
    <row r="9" ht="58" customHeight="1">
      <c r="A9" s="51" t="inlineStr">
        <is>
          <t>MPF-007</t>
        </is>
      </c>
      <c r="B9" s="44" t="inlineStr">
        <is>
          <t>P2 — Haute</t>
        </is>
      </c>
      <c r="C9" s="41" t="inlineStr">
        <is>
          <t>Bloc d'aide explique le rattachement</t>
        </is>
      </c>
      <c r="D9" s="41" t="inlineStr">
        <is>
          <t>Pédagogie sur le mécanisme</t>
        </is>
      </c>
      <c r="E9" s="41" t="inlineStr">
        <is>
          <t>Onglet Entités juridiques</t>
        </is>
      </c>
      <c r="F9" s="41" t="inlineStr">
        <is>
          <t>1. /settings → Entités juridiques
2. Lire le bloc bleu en haut</t>
        </is>
      </c>
      <c r="G9" s="41" t="inlineStr">
        <is>
          <t>Texte explicite : les employés sont rattachés via legal_entity_id, le moteur de paie applique le pack législatif de la filiale</t>
        </is>
      </c>
      <c r="H9" s="41" t="inlineStr"/>
      <c r="I9" s="42" t="inlineStr">
        <is>
          <t>⬜ Non exécuté</t>
        </is>
      </c>
      <c r="J9" s="41" t="inlineStr"/>
      <c r="K9" s="41" t="inlineStr"/>
      <c r="L9" s="41" t="inlineStr"/>
      <c r="M9" s="41" t="inlineStr"/>
      <c r="N9" s="41" t="inlineStr"/>
      <c r="O9" s="41" t="inlineStr">
        <is>
          <t>Sprint 1</t>
        </is>
      </c>
      <c r="P9" s="41" t="inlineStr">
        <is>
          <t>Production</t>
        </is>
      </c>
    </row>
    <row r="10" ht="58" customHeight="1">
      <c r="A10" s="51" t="inlineStr">
        <is>
          <t>MPF-008</t>
        </is>
      </c>
      <c r="B10" s="44" t="inlineStr">
        <is>
          <t>P2 — Haute</t>
        </is>
      </c>
      <c r="C10" s="43" t="inlineStr">
        <is>
          <t>Devise locale par filiale</t>
        </is>
      </c>
      <c r="D10" s="43" t="inlineStr">
        <is>
          <t>L'UI affiche la devise du pack (XOF / XAF / NGN / GHS)</t>
        </is>
      </c>
      <c r="E10" s="43" t="inlineStr">
        <is>
          <t>Filiale créée hors zone XOF</t>
        </is>
      </c>
      <c r="F10" s="43" t="inlineStr">
        <is>
          <t>1. Créer filiale Cameroun → vérifier card affiche XAF
2. Filiale Nigeria → NGN</t>
        </is>
      </c>
      <c r="G10" s="43" t="inlineStr">
        <is>
          <t>La carte filiale affiche '(XAF)' ou '(NGN)' à côté du pack législatif</t>
        </is>
      </c>
      <c r="H10" s="43" t="inlineStr"/>
      <c r="I10" s="42" t="inlineStr">
        <is>
          <t>⬜ Non exécuté</t>
        </is>
      </c>
      <c r="J10" s="43" t="inlineStr"/>
      <c r="K10" s="43" t="inlineStr"/>
      <c r="L10" s="43" t="inlineStr"/>
      <c r="M10" s="43" t="inlineStr"/>
      <c r="N10" s="43" t="inlineStr"/>
      <c r="O10" s="43" t="inlineStr">
        <is>
          <t>Sprint 1</t>
        </is>
      </c>
      <c r="P10" s="43" t="inlineStr">
        <is>
          <t>Production</t>
        </is>
      </c>
    </row>
    <row r="11" ht="58" customHeight="1">
      <c r="A11" s="51" t="inlineStr">
        <is>
          <t>MPF-009</t>
        </is>
      </c>
      <c r="B11" s="44" t="inlineStr">
        <is>
          <t>P2 — Haute</t>
        </is>
      </c>
      <c r="C11" s="41" t="inlineStr">
        <is>
          <t>Compteur employés par filiale</t>
        </is>
      </c>
      <c r="D11" s="41" t="inlineStr">
        <is>
          <t>Card filiale affiche le nombre d'employés rattachés</t>
        </is>
      </c>
      <c r="E11" s="41" t="inlineStr"/>
      <c r="F11" s="41" t="inlineStr">
        <is>
          <t>1. Rattacher 5 employés à une filiale
2. Recharger Settings</t>
        </is>
      </c>
      <c r="G11" s="41" t="inlineStr">
        <is>
          <t>Icône Users + 5 sur la card</t>
        </is>
      </c>
      <c r="H11" s="41" t="inlineStr"/>
      <c r="I11" s="42" t="inlineStr">
        <is>
          <t>⬜ Non exécuté</t>
        </is>
      </c>
      <c r="J11" s="41" t="inlineStr"/>
      <c r="K11" s="41" t="inlineStr"/>
      <c r="L11" s="41" t="inlineStr"/>
      <c r="M11" s="41" t="inlineStr"/>
      <c r="N11" s="41" t="inlineStr"/>
      <c r="O11" s="41" t="inlineStr">
        <is>
          <t>Sprint 1</t>
        </is>
      </c>
      <c r="P11" s="41" t="inlineStr">
        <is>
          <t>Production</t>
        </is>
      </c>
    </row>
    <row r="12" ht="58" customHeight="1">
      <c r="A12" s="51" t="inlineStr">
        <is>
          <t>MPF-010</t>
        </is>
      </c>
      <c r="B12" s="45" t="inlineStr">
        <is>
          <t>P3 — Moyenne</t>
        </is>
      </c>
      <c r="C12" s="43" t="inlineStr">
        <is>
          <t>Pré-remplissage pack législatif depuis pays</t>
        </is>
      </c>
      <c r="D12" s="43" t="inlineStr">
        <is>
          <t>Quand on change le pays dans le formulaire, le pack se met à jour automatiquement</t>
        </is>
      </c>
      <c r="E12" s="43" t="inlineStr"/>
      <c r="F12" s="43" t="inlineStr">
        <is>
          <t>1. Modal Nouvelle filiale
2. Changer pays de CIV vers SEN</t>
        </is>
      </c>
      <c r="G12" s="43" t="inlineStr">
        <is>
          <t>Champ Pack législatif passe de 'ci_2024' à 'sn_2024' automatiquement</t>
        </is>
      </c>
      <c r="H12" s="43" t="inlineStr"/>
      <c r="I12" s="42" t="inlineStr">
        <is>
          <t>⬜ Non exécuté</t>
        </is>
      </c>
      <c r="J12" s="43" t="inlineStr"/>
      <c r="K12" s="43" t="inlineStr"/>
      <c r="L12" s="43" t="inlineStr"/>
      <c r="M12" s="43" t="inlineStr"/>
      <c r="N12" s="43" t="inlineStr"/>
      <c r="O12" s="43" t="inlineStr">
        <is>
          <t>Sprint 1</t>
        </is>
      </c>
      <c r="P12" s="43" t="inlineStr">
        <is>
          <t>Production</t>
        </is>
      </c>
    </row>
    <row r="13" ht="58" customHeight="1">
      <c r="A13" s="51" t="inlineStr">
        <is>
          <t>MPF-011</t>
        </is>
      </c>
      <c r="B13" s="45" t="inlineStr">
        <is>
          <t>P3 — Moyenne</t>
        </is>
      </c>
      <c r="C13" s="41" t="inlineStr">
        <is>
          <t>Wizard tenant — sélecteur pays par défaut</t>
        </is>
      </c>
      <c r="D13" s="41" t="inlineStr">
        <is>
          <t>Création de tenant propose les pays disponibles</t>
        </is>
      </c>
      <c r="E13" s="41" t="inlineStr">
        <is>
          <t>Super admin</t>
        </is>
      </c>
      <c r="F13" s="41" t="inlineStr">
        <is>
          <t>1. /platform/tenants/new
2. Étape 1 → champ Pays
3. Vérifier les options</t>
        </is>
      </c>
      <c r="G13" s="41" t="inlineStr">
        <is>
          <t>Liste affiche au moins CIV/SEN/BFA/MLI/TGO/BEN/NER/GNB</t>
        </is>
      </c>
      <c r="H13" s="41" t="inlineStr"/>
      <c r="I13" s="42" t="inlineStr">
        <is>
          <t>⬜ Non exécuté</t>
        </is>
      </c>
      <c r="J13" s="41" t="inlineStr"/>
      <c r="K13" s="41" t="inlineStr"/>
      <c r="L13" s="41" t="inlineStr"/>
      <c r="M13" s="41" t="inlineStr"/>
      <c r="N13" s="41" t="inlineStr"/>
      <c r="O13" s="41" t="inlineStr">
        <is>
          <t>Sprint 1</t>
        </is>
      </c>
      <c r="P13" s="41" t="inlineStr">
        <is>
          <t>Production</t>
        </is>
      </c>
    </row>
  </sheetData>
  <mergeCells count="1">
    <mergeCell ref="A1:P1"/>
  </mergeCells>
  <conditionalFormatting sqref="A3:P13">
    <cfRule type="expression" priority="1" dxfId="0">
      <formula>$I3="✅ Passé"</formula>
    </cfRule>
    <cfRule type="expression" priority="2" dxfId="1">
      <formula>$I3="❌ Échoué"</formula>
    </cfRule>
    <cfRule type="expression" priority="3" dxfId="2">
      <formula>$I3="⚠️ Bloqué"</formula>
    </cfRule>
    <cfRule type="expression" priority="4" dxfId="3">
      <formula>$I3="▶️ En cours"</formula>
    </cfRule>
    <cfRule type="expression" priority="5" dxfId="4">
      <formula>$I3="⬜ Non exécuté"</formula>
    </cfRule>
  </conditionalFormatting>
  <dataValidations count="33">
    <dataValidation sqref="I3" showDropDown="0" showInputMessage="0" showErrorMessage="0" allowBlank="1" type="list">
      <formula1>"✅ Passé,❌ Échoué,⚠️ Bloqué,▶️ En cours,⬜ Non exécuté"</formula1>
    </dataValidation>
    <dataValidation sqref="B3" showDropDown="0" showInputMessage="0" showErrorMessage="0" allowBlank="1" type="list">
      <formula1>"P1 — Critique,P2 — Haute,P3 — Moyenne,P4 — Basse"</formula1>
    </dataValidation>
    <dataValidation sqref="P3" showDropDown="0" showInputMessage="0" showErrorMessage="0" allowBlank="1" type="list">
      <formula1>"Production,Preprod,Local"</formula1>
    </dataValidation>
    <dataValidation sqref="I4" showDropDown="0" showInputMessage="0" showErrorMessage="0" allowBlank="1" type="list">
      <formula1>"✅ Passé,❌ Échoué,⚠️ Bloqué,▶️ En cours,⬜ Non exécuté"</formula1>
    </dataValidation>
    <dataValidation sqref="B4" showDropDown="0" showInputMessage="0" showErrorMessage="0" allowBlank="1" type="list">
      <formula1>"P1 — Critique,P2 — Haute,P3 — Moyenne,P4 — Basse"</formula1>
    </dataValidation>
    <dataValidation sqref="P4" showDropDown="0" showInputMessage="0" showErrorMessage="0" allowBlank="1" type="list">
      <formula1>"Production,Preprod,Local"</formula1>
    </dataValidation>
    <dataValidation sqref="I5" showDropDown="0" showInputMessage="0" showErrorMessage="0" allowBlank="1" type="list">
      <formula1>"✅ Passé,❌ Échoué,⚠️ Bloqué,▶️ En cours,⬜ Non exécuté"</formula1>
    </dataValidation>
    <dataValidation sqref="B5" showDropDown="0" showInputMessage="0" showErrorMessage="0" allowBlank="1" type="list">
      <formula1>"P1 — Critique,P2 — Haute,P3 — Moyenne,P4 — Basse"</formula1>
    </dataValidation>
    <dataValidation sqref="P5" showDropDown="0" showInputMessage="0" showErrorMessage="0" allowBlank="1" type="list">
      <formula1>"Production,Preprod,Local"</formula1>
    </dataValidation>
    <dataValidation sqref="I6" showDropDown="0" showInputMessage="0" showErrorMessage="0" allowBlank="1" type="list">
      <formula1>"✅ Passé,❌ Échoué,⚠️ Bloqué,▶️ En cours,⬜ Non exécuté"</formula1>
    </dataValidation>
    <dataValidation sqref="B6" showDropDown="0" showInputMessage="0" showErrorMessage="0" allowBlank="1" type="list">
      <formula1>"P1 — Critique,P2 — Haute,P3 — Moyenne,P4 — Basse"</formula1>
    </dataValidation>
    <dataValidation sqref="P6" showDropDown="0" showInputMessage="0" showErrorMessage="0" allowBlank="1" type="list">
      <formula1>"Production,Preprod,Local"</formula1>
    </dataValidation>
    <dataValidation sqref="I7" showDropDown="0" showInputMessage="0" showErrorMessage="0" allowBlank="1" type="list">
      <formula1>"✅ Passé,❌ Échoué,⚠️ Bloqué,▶️ En cours,⬜ Non exécuté"</formula1>
    </dataValidation>
    <dataValidation sqref="B7" showDropDown="0" showInputMessage="0" showErrorMessage="0" allowBlank="1" type="list">
      <formula1>"P1 — Critique,P2 — Haute,P3 — Moyenne,P4 — Basse"</formula1>
    </dataValidation>
    <dataValidation sqref="P7" showDropDown="0" showInputMessage="0" showErrorMessage="0" allowBlank="1" type="list">
      <formula1>"Production,Preprod,Local"</formula1>
    </dataValidation>
    <dataValidation sqref="I8" showDropDown="0" showInputMessage="0" showErrorMessage="0" allowBlank="1" type="list">
      <formula1>"✅ Passé,❌ Échoué,⚠️ Bloqué,▶️ En cours,⬜ Non exécuté"</formula1>
    </dataValidation>
    <dataValidation sqref="B8" showDropDown="0" showInputMessage="0" showErrorMessage="0" allowBlank="1" type="list">
      <formula1>"P1 — Critique,P2 — Haute,P3 — Moyenne,P4 — Basse"</formula1>
    </dataValidation>
    <dataValidation sqref="P8" showDropDown="0" showInputMessage="0" showErrorMessage="0" allowBlank="1" type="list">
      <formula1>"Production,Preprod,Local"</formula1>
    </dataValidation>
    <dataValidation sqref="I9" showDropDown="0" showInputMessage="0" showErrorMessage="0" allowBlank="1" type="list">
      <formula1>"✅ Passé,❌ Échoué,⚠️ Bloqué,▶️ En cours,⬜ Non exécuté"</formula1>
    </dataValidation>
    <dataValidation sqref="B9" showDropDown="0" showInputMessage="0" showErrorMessage="0" allowBlank="1" type="list">
      <formula1>"P1 — Critique,P2 — Haute,P3 — Moyenne,P4 — Basse"</formula1>
    </dataValidation>
    <dataValidation sqref="P9" showDropDown="0" showInputMessage="0" showErrorMessage="0" allowBlank="1" type="list">
      <formula1>"Production,Preprod,Local"</formula1>
    </dataValidation>
    <dataValidation sqref="I10" showDropDown="0" showInputMessage="0" showErrorMessage="0" allowBlank="1" type="list">
      <formula1>"✅ Passé,❌ Échoué,⚠️ Bloqué,▶️ En cours,⬜ Non exécuté"</formula1>
    </dataValidation>
    <dataValidation sqref="B10" showDropDown="0" showInputMessage="0" showErrorMessage="0" allowBlank="1" type="list">
      <formula1>"P1 — Critique,P2 — Haute,P3 — Moyenne,P4 — Basse"</formula1>
    </dataValidation>
    <dataValidation sqref="P10" showDropDown="0" showInputMessage="0" showErrorMessage="0" allowBlank="1" type="list">
      <formula1>"Production,Preprod,Local"</formula1>
    </dataValidation>
    <dataValidation sqref="I11" showDropDown="0" showInputMessage="0" showErrorMessage="0" allowBlank="1" type="list">
      <formula1>"✅ Passé,❌ Échoué,⚠️ Bloqué,▶️ En cours,⬜ Non exécuté"</formula1>
    </dataValidation>
    <dataValidation sqref="B11" showDropDown="0" showInputMessage="0" showErrorMessage="0" allowBlank="1" type="list">
      <formula1>"P1 — Critique,P2 — Haute,P3 — Moyenne,P4 — Basse"</formula1>
    </dataValidation>
    <dataValidation sqref="P11" showDropDown="0" showInputMessage="0" showErrorMessage="0" allowBlank="1" type="list">
      <formula1>"Production,Preprod,Local"</formula1>
    </dataValidation>
    <dataValidation sqref="I12" showDropDown="0" showInputMessage="0" showErrorMessage="0" allowBlank="1" type="list">
      <formula1>"✅ Passé,❌ Échoué,⚠️ Bloqué,▶️ En cours,⬜ Non exécuté"</formula1>
    </dataValidation>
    <dataValidation sqref="B12" showDropDown="0" showInputMessage="0" showErrorMessage="0" allowBlank="1" type="list">
      <formula1>"P1 — Critique,P2 — Haute,P3 — Moyenne,P4 — Basse"</formula1>
    </dataValidation>
    <dataValidation sqref="P12" showDropDown="0" showInputMessage="0" showErrorMessage="0" allowBlank="1" type="list">
      <formula1>"Production,Preprod,Local"</formula1>
    </dataValidation>
    <dataValidation sqref="I13" showDropDown="0" showInputMessage="0" showErrorMessage="0" allowBlank="1" type="list">
      <formula1>"✅ Passé,❌ Échoué,⚠️ Bloqué,▶️ En cours,⬜ Non exécuté"</formula1>
    </dataValidation>
    <dataValidation sqref="B13" showDropDown="0" showInputMessage="0" showErrorMessage="0" allowBlank="1" type="list">
      <formula1>"P1 — Critique,P2 — Haute,P3 — Moyenne,P4 — Basse"</formula1>
    </dataValidation>
    <dataValidation sqref="P13" showDropDown="0" showInputMessage="0" showErrorMessage="0" allowBlank="1" type="list">
      <formula1>"Production,Preprod,Local"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P11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38" customWidth="1" min="3" max="3"/>
    <col width="32" customWidth="1" min="4" max="4"/>
    <col width="30" customWidth="1" min="5" max="5"/>
    <col width="40" customWidth="1" min="6" max="6"/>
    <col width="38" customWidth="1" min="7" max="7"/>
    <col width="38" customWidth="1" min="8" max="8"/>
    <col width="18" customWidth="1" min="9" max="9"/>
    <col width="16" customWidth="1" min="10" max="10"/>
    <col width="13" customWidth="1" min="11" max="11"/>
    <col width="12" customWidth="1" min="12" max="12"/>
    <col width="24" customWidth="1" min="13" max="13"/>
    <col width="36" customWidth="1" min="14" max="14"/>
    <col width="10" customWidth="1" min="15" max="15"/>
    <col width="12" customWidth="1" min="16" max="16"/>
  </cols>
  <sheetData>
    <row r="1" ht="26" customHeight="1">
      <c r="A1" s="58" t="inlineStr">
        <is>
          <t xml:space="preserve">  FORMATION &amp; FDFP  ·  9 scénarios</t>
        </is>
      </c>
    </row>
    <row r="2" ht="22" customHeight="1">
      <c r="A2" s="39" t="inlineStr">
        <is>
          <t>ID Test</t>
        </is>
      </c>
      <c r="B2" s="39" t="inlineStr">
        <is>
          <t>Priorité</t>
        </is>
      </c>
      <c r="C2" s="39" t="inlineStr">
        <is>
          <t>Titre du scénario</t>
        </is>
      </c>
      <c r="D2" s="39" t="inlineStr">
        <is>
          <t>Description / Contexte</t>
        </is>
      </c>
      <c r="E2" s="39" t="inlineStr">
        <is>
          <t>Prérequis / Données</t>
        </is>
      </c>
      <c r="F2" s="39" t="inlineStr">
        <is>
          <t>Étapes détaillées</t>
        </is>
      </c>
      <c r="G2" s="39" t="inlineStr">
        <is>
          <t>Résultat attendu</t>
        </is>
      </c>
      <c r="H2" s="39" t="inlineStr">
        <is>
          <t>Résultat obtenu</t>
        </is>
      </c>
      <c r="I2" s="39" t="inlineStr">
        <is>
          <t>Statut</t>
        </is>
      </c>
      <c r="J2" s="39" t="inlineStr">
        <is>
          <t>Testeur</t>
        </is>
      </c>
      <c r="K2" s="39" t="inlineStr">
        <is>
          <t>Date test</t>
        </is>
      </c>
      <c r="L2" s="39" t="inlineStr">
        <is>
          <t>Durée (min)</t>
        </is>
      </c>
      <c r="M2" s="39" t="inlineStr">
        <is>
          <t>Ticket / Requalification</t>
        </is>
      </c>
      <c r="N2" s="39" t="inlineStr">
        <is>
          <t>Commentaire / Amélioration</t>
        </is>
      </c>
      <c r="O2" s="39" t="inlineStr">
        <is>
          <t>Sprint</t>
        </is>
      </c>
      <c r="P2" s="39" t="inlineStr">
        <is>
          <t>Env.</t>
        </is>
      </c>
    </row>
    <row r="3" ht="58" customHeight="1">
      <c r="A3" s="59" t="inlineStr">
        <is>
          <t>FRM-001</t>
        </is>
      </c>
      <c r="B3" s="40" t="inlineStr">
        <is>
          <t>P1 — Critique</t>
        </is>
      </c>
      <c r="C3" s="41" t="inlineStr">
        <is>
          <t>Catalogue formations — affichage</t>
        </is>
      </c>
      <c r="D3" s="41" t="inlineStr"/>
      <c r="E3" s="41" t="inlineStr">
        <is>
          <t>5+ formations seedées</t>
        </is>
      </c>
      <c r="F3" s="41" t="inlineStr">
        <is>
          <t>1. /training
2. Observer les cards</t>
        </is>
      </c>
      <c r="G3" s="41" t="inlineStr">
        <is>
          <t>Cards avec titre, durée (heures), format (présentiel/e-learning), places disponibles</t>
        </is>
      </c>
      <c r="H3" s="41" t="inlineStr"/>
      <c r="I3" s="42" t="inlineStr">
        <is>
          <t>⬜ Non exécuté</t>
        </is>
      </c>
      <c r="J3" s="41" t="inlineStr"/>
      <c r="K3" s="41" t="inlineStr"/>
      <c r="L3" s="41" t="inlineStr"/>
      <c r="M3" s="41" t="inlineStr"/>
      <c r="N3" s="41" t="inlineStr"/>
      <c r="O3" s="41" t="inlineStr">
        <is>
          <t>Sprint 1</t>
        </is>
      </c>
      <c r="P3" s="41" t="inlineStr">
        <is>
          <t>Production</t>
        </is>
      </c>
    </row>
    <row r="4" ht="58" customHeight="1">
      <c r="A4" s="59" t="inlineStr">
        <is>
          <t>FRM-002</t>
        </is>
      </c>
      <c r="B4" s="44" t="inlineStr">
        <is>
          <t>P2 — Haute</t>
        </is>
      </c>
      <c r="C4" s="43" t="inlineStr">
        <is>
          <t>Création formation (admin)</t>
        </is>
      </c>
      <c r="D4" s="43" t="inlineStr"/>
      <c r="E4" s="43" t="inlineStr">
        <is>
          <t>Admin connecté</t>
        </is>
      </c>
      <c r="F4" s="43" t="inlineStr">
        <is>
          <t>1. /training/new
2. Remplir titre, description, durée, format, places max
3. Cocher FDFP éligible si applicable</t>
        </is>
      </c>
      <c r="G4" s="43" t="inlineStr">
        <is>
          <t>Formation créée, visible dans le catalogue</t>
        </is>
      </c>
      <c r="H4" s="43" t="inlineStr"/>
      <c r="I4" s="42" t="inlineStr">
        <is>
          <t>⬜ Non exécuté</t>
        </is>
      </c>
      <c r="J4" s="43" t="inlineStr"/>
      <c r="K4" s="43" t="inlineStr"/>
      <c r="L4" s="43" t="inlineStr"/>
      <c r="M4" s="43" t="inlineStr"/>
      <c r="N4" s="43" t="inlineStr"/>
      <c r="O4" s="43" t="inlineStr">
        <is>
          <t>Sprint 1</t>
        </is>
      </c>
      <c r="P4" s="43" t="inlineStr">
        <is>
          <t>Production</t>
        </is>
      </c>
    </row>
    <row r="5" ht="58" customHeight="1">
      <c r="A5" s="59" t="inlineStr">
        <is>
          <t>FRM-003</t>
        </is>
      </c>
      <c r="B5" s="40" t="inlineStr">
        <is>
          <t>P1 — Critique</t>
        </is>
      </c>
      <c r="C5" s="41" t="inlineStr">
        <is>
          <t>Session planifiée — dates futures</t>
        </is>
      </c>
      <c r="D5" s="41" t="inlineStr"/>
      <c r="E5" s="41" t="inlineStr">
        <is>
          <t>Formation créée</t>
        </is>
      </c>
      <c r="F5" s="41" t="inlineStr">
        <is>
          <t>1. Créer une session avec dates futures
2. Définir lieu et formateur</t>
        </is>
      </c>
      <c r="G5" s="41" t="inlineStr">
        <is>
          <t>Session visible avec places disponibles décomptées dynamiquement</t>
        </is>
      </c>
      <c r="H5" s="41" t="inlineStr"/>
      <c r="I5" s="42" t="inlineStr">
        <is>
          <t>⬜ Non exécuté</t>
        </is>
      </c>
      <c r="J5" s="41" t="inlineStr"/>
      <c r="K5" s="41" t="inlineStr"/>
      <c r="L5" s="41" t="inlineStr"/>
      <c r="M5" s="41" t="inlineStr"/>
      <c r="N5" s="41" t="inlineStr"/>
      <c r="O5" s="41" t="inlineStr">
        <is>
          <t>Sprint 1</t>
        </is>
      </c>
      <c r="P5" s="41" t="inlineStr">
        <is>
          <t>Production</t>
        </is>
      </c>
    </row>
    <row r="6" ht="58" customHeight="1">
      <c r="A6" s="59" t="inlineStr">
        <is>
          <t>FRM-004</t>
        </is>
      </c>
      <c r="B6" s="40" t="inlineStr">
        <is>
          <t>P1 — Critique</t>
        </is>
      </c>
      <c r="C6" s="43" t="inlineStr">
        <is>
          <t>Inscription self-service — employee</t>
        </is>
      </c>
      <c r="D6" s="43" t="inlineStr"/>
      <c r="E6" s="43" t="inlineStr">
        <is>
          <t>employe@sotra.ci connecté, places disponibles</t>
        </is>
      </c>
      <c r="F6" s="43" t="inlineStr">
        <is>
          <t>1. /mon-espace/formation
2. Catalogue → S'inscrire</t>
        </is>
      </c>
      <c r="G6" s="43" t="inlineStr">
        <is>
          <t>Inscription créée, places disponibles -1, confirmation affichée</t>
        </is>
      </c>
      <c r="H6" s="43" t="inlineStr"/>
      <c r="I6" s="42" t="inlineStr">
        <is>
          <t>⬜ Non exécuté</t>
        </is>
      </c>
      <c r="J6" s="43" t="inlineStr"/>
      <c r="K6" s="43" t="inlineStr"/>
      <c r="L6" s="43" t="inlineStr"/>
      <c r="M6" s="43" t="inlineStr"/>
      <c r="N6" s="43" t="inlineStr"/>
      <c r="O6" s="43" t="inlineStr">
        <is>
          <t>Sprint 1</t>
        </is>
      </c>
      <c r="P6" s="43" t="inlineStr">
        <is>
          <t>Production</t>
        </is>
      </c>
    </row>
    <row r="7" ht="58" customHeight="1">
      <c r="A7" s="59" t="inlineStr">
        <is>
          <t>FRM-005</t>
        </is>
      </c>
      <c r="B7" s="44" t="inlineStr">
        <is>
          <t>P2 — Haute</t>
        </is>
      </c>
      <c r="C7" s="41" t="inlineStr">
        <is>
          <t>Vérification places avant inscription</t>
        </is>
      </c>
      <c r="D7" s="41" t="inlineStr"/>
      <c r="E7" s="41" t="inlineStr">
        <is>
          <t>Session complète (0 place)</t>
        </is>
      </c>
      <c r="F7" s="41" t="inlineStr">
        <is>
          <t>1. Tenter de s'inscrire à une session pleine</t>
        </is>
      </c>
      <c r="G7" s="41" t="inlineStr">
        <is>
          <t>Erreur 'Session complète', bouton désactivé</t>
        </is>
      </c>
      <c r="H7" s="41" t="inlineStr"/>
      <c r="I7" s="42" t="inlineStr">
        <is>
          <t>⬜ Non exécuté</t>
        </is>
      </c>
      <c r="J7" s="41" t="inlineStr"/>
      <c r="K7" s="41" t="inlineStr"/>
      <c r="L7" s="41" t="inlineStr"/>
      <c r="M7" s="41" t="inlineStr"/>
      <c r="N7" s="41" t="inlineStr"/>
      <c r="O7" s="41" t="inlineStr">
        <is>
          <t>Sprint 1</t>
        </is>
      </c>
      <c r="P7" s="41" t="inlineStr">
        <is>
          <t>Production</t>
        </is>
      </c>
    </row>
    <row r="8" ht="58" customHeight="1">
      <c r="A8" s="59" t="inlineStr">
        <is>
          <t>FRM-006</t>
        </is>
      </c>
      <c r="B8" s="44" t="inlineStr">
        <is>
          <t>P2 — Haute</t>
        </is>
      </c>
      <c r="C8" s="43" t="inlineStr">
        <is>
          <t>Désinscription</t>
        </is>
      </c>
      <c r="D8" s="43" t="inlineStr"/>
      <c r="E8" s="43" t="inlineStr">
        <is>
          <t>Inscrit à une session future</t>
        </is>
      </c>
      <c r="F8" s="43" t="inlineStr">
        <is>
          <t>1. Mes inscriptions → Annuler</t>
        </is>
      </c>
      <c r="G8" s="43" t="inlineStr">
        <is>
          <t>Inscription supprimée, places disponibles +1</t>
        </is>
      </c>
      <c r="H8" s="43" t="inlineStr"/>
      <c r="I8" s="42" t="inlineStr">
        <is>
          <t>⬜ Non exécuté</t>
        </is>
      </c>
      <c r="J8" s="43" t="inlineStr"/>
      <c r="K8" s="43" t="inlineStr"/>
      <c r="L8" s="43" t="inlineStr"/>
      <c r="M8" s="43" t="inlineStr"/>
      <c r="N8" s="43" t="inlineStr"/>
      <c r="O8" s="43" t="inlineStr">
        <is>
          <t>Sprint 1</t>
        </is>
      </c>
      <c r="P8" s="43" t="inlineStr">
        <is>
          <t>Production</t>
        </is>
      </c>
    </row>
    <row r="9" ht="58" customHeight="1">
      <c r="A9" s="59" t="inlineStr">
        <is>
          <t>FRM-007</t>
        </is>
      </c>
      <c r="B9" s="45" t="inlineStr">
        <is>
          <t>P3 — Moyenne</t>
        </is>
      </c>
      <c r="C9" s="41" t="inlineStr">
        <is>
          <t>Attestation téléchargeable (formation terminée)</t>
        </is>
      </c>
      <c r="D9" s="41" t="inlineStr"/>
      <c r="E9" s="41" t="inlineStr">
        <is>
          <t>Formation passée, statut completed</t>
        </is>
      </c>
      <c r="F9" s="41" t="inlineStr">
        <is>
          <t>1. Mes inscriptions → Télécharger attestation</t>
        </is>
      </c>
      <c r="G9" s="41" t="inlineStr">
        <is>
          <t>PDF attestation téléchargé avec nom, date, formation, durée</t>
        </is>
      </c>
      <c r="H9" s="41" t="inlineStr"/>
      <c r="I9" s="42" t="inlineStr">
        <is>
          <t>⬜ Non exécuté</t>
        </is>
      </c>
      <c r="J9" s="41" t="inlineStr"/>
      <c r="K9" s="41" t="inlineStr"/>
      <c r="L9" s="41" t="inlineStr"/>
      <c r="M9" s="41" t="inlineStr"/>
      <c r="N9" s="41" t="inlineStr"/>
      <c r="O9" s="41" t="inlineStr">
        <is>
          <t>Sprint 1</t>
        </is>
      </c>
      <c r="P9" s="41" t="inlineStr">
        <is>
          <t>Production</t>
        </is>
      </c>
    </row>
    <row r="10" ht="58" customHeight="1">
      <c r="A10" s="59" t="inlineStr">
        <is>
          <t>FRM-008</t>
        </is>
      </c>
      <c r="B10" s="45" t="inlineStr">
        <is>
          <t>P3 — Moyenne</t>
        </is>
      </c>
      <c r="C10" s="43" t="inlineStr">
        <is>
          <t>Filtre formations agréées FDFP</t>
        </is>
      </c>
      <c r="D10" s="43" t="inlineStr"/>
      <c r="E10" s="43" t="inlineStr"/>
      <c r="F10" s="43" t="inlineStr">
        <is>
          <t>1. Catalogue → Filtre 'FDFP éligible'</t>
        </is>
      </c>
      <c r="G10" s="43" t="inlineStr">
        <is>
          <t>Seules les formations avec is_fdfp_eligible=true affichées</t>
        </is>
      </c>
      <c r="H10" s="43" t="inlineStr"/>
      <c r="I10" s="42" t="inlineStr">
        <is>
          <t>⬜ Non exécuté</t>
        </is>
      </c>
      <c r="J10" s="43" t="inlineStr"/>
      <c r="K10" s="43" t="inlineStr"/>
      <c r="L10" s="43" t="inlineStr"/>
      <c r="M10" s="43" t="inlineStr"/>
      <c r="N10" s="43" t="inlineStr"/>
      <c r="O10" s="43" t="inlineStr">
        <is>
          <t>Sprint 1</t>
        </is>
      </c>
      <c r="P10" s="43" t="inlineStr">
        <is>
          <t>Production</t>
        </is>
      </c>
    </row>
    <row r="11" ht="58" customHeight="1">
      <c r="A11" s="59" t="inlineStr">
        <is>
          <t>FRM-009</t>
        </is>
      </c>
      <c r="B11" s="45" t="inlineStr">
        <is>
          <t>P3 — Moyenne</t>
        </is>
      </c>
      <c r="C11" s="41" t="inlineStr">
        <is>
          <t>Demande remboursement FDFP</t>
        </is>
      </c>
      <c r="D11" s="41" t="inlineStr"/>
      <c r="E11" s="41" t="inlineStr">
        <is>
          <t>Formation agréée terminée</t>
        </is>
      </c>
      <c r="F11" s="41" t="inlineStr">
        <is>
          <t>1. POST /training/fdfp/request
2. Dossier complet</t>
        </is>
      </c>
      <c r="G11" s="41" t="inlineStr">
        <is>
          <t>Demande créée, statut 'pending FDFP'</t>
        </is>
      </c>
      <c r="H11" s="41" t="inlineStr"/>
      <c r="I11" s="42" t="inlineStr">
        <is>
          <t>⬜ Non exécuté</t>
        </is>
      </c>
      <c r="J11" s="41" t="inlineStr"/>
      <c r="K11" s="41" t="inlineStr"/>
      <c r="L11" s="41" t="inlineStr"/>
      <c r="M11" s="41" t="inlineStr"/>
      <c r="N11" s="41" t="inlineStr"/>
      <c r="O11" s="41" t="inlineStr">
        <is>
          <t>Sprint 1</t>
        </is>
      </c>
      <c r="P11" s="41" t="inlineStr">
        <is>
          <t>Production</t>
        </is>
      </c>
    </row>
  </sheetData>
  <mergeCells count="1">
    <mergeCell ref="A1:P1"/>
  </mergeCells>
  <conditionalFormatting sqref="A3:P11">
    <cfRule type="expression" priority="1" dxfId="0">
      <formula>$I3="✅ Passé"</formula>
    </cfRule>
    <cfRule type="expression" priority="2" dxfId="1">
      <formula>$I3="❌ Échoué"</formula>
    </cfRule>
    <cfRule type="expression" priority="3" dxfId="2">
      <formula>$I3="⚠️ Bloqué"</formula>
    </cfRule>
    <cfRule type="expression" priority="4" dxfId="3">
      <formula>$I3="▶️ En cours"</formula>
    </cfRule>
    <cfRule type="expression" priority="5" dxfId="4">
      <formula>$I3="⬜ Non exécuté"</formula>
    </cfRule>
  </conditionalFormatting>
  <dataValidations count="27">
    <dataValidation sqref="I3" showDropDown="0" showInputMessage="0" showErrorMessage="0" allowBlank="1" type="list">
      <formula1>"✅ Passé,❌ Échoué,⚠️ Bloqué,▶️ En cours,⬜ Non exécuté"</formula1>
    </dataValidation>
    <dataValidation sqref="B3" showDropDown="0" showInputMessage="0" showErrorMessage="0" allowBlank="1" type="list">
      <formula1>"P1 — Critique,P2 — Haute,P3 — Moyenne,P4 — Basse"</formula1>
    </dataValidation>
    <dataValidation sqref="P3" showDropDown="0" showInputMessage="0" showErrorMessage="0" allowBlank="1" type="list">
      <formula1>"Production,Preprod,Local"</formula1>
    </dataValidation>
    <dataValidation sqref="I4" showDropDown="0" showInputMessage="0" showErrorMessage="0" allowBlank="1" type="list">
      <formula1>"✅ Passé,❌ Échoué,⚠️ Bloqué,▶️ En cours,⬜ Non exécuté"</formula1>
    </dataValidation>
    <dataValidation sqref="B4" showDropDown="0" showInputMessage="0" showErrorMessage="0" allowBlank="1" type="list">
      <formula1>"P1 — Critique,P2 — Haute,P3 — Moyenne,P4 — Basse"</formula1>
    </dataValidation>
    <dataValidation sqref="P4" showDropDown="0" showInputMessage="0" showErrorMessage="0" allowBlank="1" type="list">
      <formula1>"Production,Preprod,Local"</formula1>
    </dataValidation>
    <dataValidation sqref="I5" showDropDown="0" showInputMessage="0" showErrorMessage="0" allowBlank="1" type="list">
      <formula1>"✅ Passé,❌ Échoué,⚠️ Bloqué,▶️ En cours,⬜ Non exécuté"</formula1>
    </dataValidation>
    <dataValidation sqref="B5" showDropDown="0" showInputMessage="0" showErrorMessage="0" allowBlank="1" type="list">
      <formula1>"P1 — Critique,P2 — Haute,P3 — Moyenne,P4 — Basse"</formula1>
    </dataValidation>
    <dataValidation sqref="P5" showDropDown="0" showInputMessage="0" showErrorMessage="0" allowBlank="1" type="list">
      <formula1>"Production,Preprod,Local"</formula1>
    </dataValidation>
    <dataValidation sqref="I6" showDropDown="0" showInputMessage="0" showErrorMessage="0" allowBlank="1" type="list">
      <formula1>"✅ Passé,❌ Échoué,⚠️ Bloqué,▶️ En cours,⬜ Non exécuté"</formula1>
    </dataValidation>
    <dataValidation sqref="B6" showDropDown="0" showInputMessage="0" showErrorMessage="0" allowBlank="1" type="list">
      <formula1>"P1 — Critique,P2 — Haute,P3 — Moyenne,P4 — Basse"</formula1>
    </dataValidation>
    <dataValidation sqref="P6" showDropDown="0" showInputMessage="0" showErrorMessage="0" allowBlank="1" type="list">
      <formula1>"Production,Preprod,Local"</formula1>
    </dataValidation>
    <dataValidation sqref="I7" showDropDown="0" showInputMessage="0" showErrorMessage="0" allowBlank="1" type="list">
      <formula1>"✅ Passé,❌ Échoué,⚠️ Bloqué,▶️ En cours,⬜ Non exécuté"</formula1>
    </dataValidation>
    <dataValidation sqref="B7" showDropDown="0" showInputMessage="0" showErrorMessage="0" allowBlank="1" type="list">
      <formula1>"P1 — Critique,P2 — Haute,P3 — Moyenne,P4 — Basse"</formula1>
    </dataValidation>
    <dataValidation sqref="P7" showDropDown="0" showInputMessage="0" showErrorMessage="0" allowBlank="1" type="list">
      <formula1>"Production,Preprod,Local"</formula1>
    </dataValidation>
    <dataValidation sqref="I8" showDropDown="0" showInputMessage="0" showErrorMessage="0" allowBlank="1" type="list">
      <formula1>"✅ Passé,❌ Échoué,⚠️ Bloqué,▶️ En cours,⬜ Non exécuté"</formula1>
    </dataValidation>
    <dataValidation sqref="B8" showDropDown="0" showInputMessage="0" showErrorMessage="0" allowBlank="1" type="list">
      <formula1>"P1 — Critique,P2 — Haute,P3 — Moyenne,P4 — Basse"</formula1>
    </dataValidation>
    <dataValidation sqref="P8" showDropDown="0" showInputMessage="0" showErrorMessage="0" allowBlank="1" type="list">
      <formula1>"Production,Preprod,Local"</formula1>
    </dataValidation>
    <dataValidation sqref="I9" showDropDown="0" showInputMessage="0" showErrorMessage="0" allowBlank="1" type="list">
      <formula1>"✅ Passé,❌ Échoué,⚠️ Bloqué,▶️ En cours,⬜ Non exécuté"</formula1>
    </dataValidation>
    <dataValidation sqref="B9" showDropDown="0" showInputMessage="0" showErrorMessage="0" allowBlank="1" type="list">
      <formula1>"P1 — Critique,P2 — Haute,P3 — Moyenne,P4 — Basse"</formula1>
    </dataValidation>
    <dataValidation sqref="P9" showDropDown="0" showInputMessage="0" showErrorMessage="0" allowBlank="1" type="list">
      <formula1>"Production,Preprod,Local"</formula1>
    </dataValidation>
    <dataValidation sqref="I10" showDropDown="0" showInputMessage="0" showErrorMessage="0" allowBlank="1" type="list">
      <formula1>"✅ Passé,❌ Échoué,⚠️ Bloqué,▶️ En cours,⬜ Non exécuté"</formula1>
    </dataValidation>
    <dataValidation sqref="B10" showDropDown="0" showInputMessage="0" showErrorMessage="0" allowBlank="1" type="list">
      <formula1>"P1 — Critique,P2 — Haute,P3 — Moyenne,P4 — Basse"</formula1>
    </dataValidation>
    <dataValidation sqref="P10" showDropDown="0" showInputMessage="0" showErrorMessage="0" allowBlank="1" type="list">
      <formula1>"Production,Preprod,Local"</formula1>
    </dataValidation>
    <dataValidation sqref="I11" showDropDown="0" showInputMessage="0" showErrorMessage="0" allowBlank="1" type="list">
      <formula1>"✅ Passé,❌ Échoué,⚠️ Bloqué,▶️ En cours,⬜ Non exécuté"</formula1>
    </dataValidation>
    <dataValidation sqref="B11" showDropDown="0" showInputMessage="0" showErrorMessage="0" allowBlank="1" type="list">
      <formula1>"P1 — Critique,P2 — Haute,P3 — Moyenne,P4 — Basse"</formula1>
    </dataValidation>
    <dataValidation sqref="P11" showDropDown="0" showInputMessage="0" showErrorMessage="0" allowBlank="1" type="list">
      <formula1>"Production,Preprod,Local"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P1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38" customWidth="1" min="3" max="3"/>
    <col width="32" customWidth="1" min="4" max="4"/>
    <col width="30" customWidth="1" min="5" max="5"/>
    <col width="40" customWidth="1" min="6" max="6"/>
    <col width="38" customWidth="1" min="7" max="7"/>
    <col width="38" customWidth="1" min="8" max="8"/>
    <col width="18" customWidth="1" min="9" max="9"/>
    <col width="16" customWidth="1" min="10" max="10"/>
    <col width="13" customWidth="1" min="11" max="11"/>
    <col width="12" customWidth="1" min="12" max="12"/>
    <col width="24" customWidth="1" min="13" max="13"/>
    <col width="36" customWidth="1" min="14" max="14"/>
    <col width="10" customWidth="1" min="15" max="15"/>
    <col width="12" customWidth="1" min="16" max="16"/>
  </cols>
  <sheetData>
    <row r="1" ht="26" customHeight="1">
      <c r="A1" s="60" t="inlineStr">
        <is>
          <t xml:space="preserve">  NOTES DE FRAIS  ·  8 scénarios</t>
        </is>
      </c>
    </row>
    <row r="2" ht="22" customHeight="1">
      <c r="A2" s="39" t="inlineStr">
        <is>
          <t>ID Test</t>
        </is>
      </c>
      <c r="B2" s="39" t="inlineStr">
        <is>
          <t>Priorité</t>
        </is>
      </c>
      <c r="C2" s="39" t="inlineStr">
        <is>
          <t>Titre du scénario</t>
        </is>
      </c>
      <c r="D2" s="39" t="inlineStr">
        <is>
          <t>Description / Contexte</t>
        </is>
      </c>
      <c r="E2" s="39" t="inlineStr">
        <is>
          <t>Prérequis / Données</t>
        </is>
      </c>
      <c r="F2" s="39" t="inlineStr">
        <is>
          <t>Étapes détaillées</t>
        </is>
      </c>
      <c r="G2" s="39" t="inlineStr">
        <is>
          <t>Résultat attendu</t>
        </is>
      </c>
      <c r="H2" s="39" t="inlineStr">
        <is>
          <t>Résultat obtenu</t>
        </is>
      </c>
      <c r="I2" s="39" t="inlineStr">
        <is>
          <t>Statut</t>
        </is>
      </c>
      <c r="J2" s="39" t="inlineStr">
        <is>
          <t>Testeur</t>
        </is>
      </c>
      <c r="K2" s="39" t="inlineStr">
        <is>
          <t>Date test</t>
        </is>
      </c>
      <c r="L2" s="39" t="inlineStr">
        <is>
          <t>Durée (min)</t>
        </is>
      </c>
      <c r="M2" s="39" t="inlineStr">
        <is>
          <t>Ticket / Requalification</t>
        </is>
      </c>
      <c r="N2" s="39" t="inlineStr">
        <is>
          <t>Commentaire / Amélioration</t>
        </is>
      </c>
      <c r="O2" s="39" t="inlineStr">
        <is>
          <t>Sprint</t>
        </is>
      </c>
      <c r="P2" s="39" t="inlineStr">
        <is>
          <t>Env.</t>
        </is>
      </c>
    </row>
    <row r="3" ht="58" customHeight="1">
      <c r="A3" s="61" t="inlineStr">
        <is>
          <t>FRA-001</t>
        </is>
      </c>
      <c r="B3" s="40" t="inlineStr">
        <is>
          <t>P1 — Critique</t>
        </is>
      </c>
      <c r="C3" s="41" t="inlineStr">
        <is>
          <t>Création note de frais — brouillon</t>
        </is>
      </c>
      <c r="D3" s="41" t="inlineStr"/>
      <c r="E3" s="41" t="inlineStr">
        <is>
          <t>Employé connecté</t>
        </is>
      </c>
      <c r="F3" s="41" t="inlineStr">
        <is>
          <t>1. /mon-espace/notes-de-frais → Nouvelle note
2. Titre, mois
3. Sauvegarder brouillon</t>
        </is>
      </c>
      <c r="G3" s="41" t="inlineStr">
        <is>
          <t>Note créée statut 'draft', visible dans la liste</t>
        </is>
      </c>
      <c r="H3" s="41" t="inlineStr"/>
      <c r="I3" s="42" t="inlineStr">
        <is>
          <t>⬜ Non exécuté</t>
        </is>
      </c>
      <c r="J3" s="41" t="inlineStr"/>
      <c r="K3" s="41" t="inlineStr"/>
      <c r="L3" s="41" t="inlineStr"/>
      <c r="M3" s="41" t="inlineStr"/>
      <c r="N3" s="41" t="inlineStr"/>
      <c r="O3" s="41" t="inlineStr">
        <is>
          <t>Sprint 1</t>
        </is>
      </c>
      <c r="P3" s="41" t="inlineStr">
        <is>
          <t>Production</t>
        </is>
      </c>
    </row>
    <row r="4" ht="58" customHeight="1">
      <c r="A4" s="61" t="inlineStr">
        <is>
          <t>FRA-002</t>
        </is>
      </c>
      <c r="B4" s="40" t="inlineStr">
        <is>
          <t>P1 — Critique</t>
        </is>
      </c>
      <c r="C4" s="43" t="inlineStr">
        <is>
          <t>Ajout lignes à la note</t>
        </is>
      </c>
      <c r="D4" s="43" t="inlineStr">
        <is>
          <t>Description, catégorie, montant FCFA, justificatif</t>
        </is>
      </c>
      <c r="E4" s="43" t="inlineStr">
        <is>
          <t>Note brouillon</t>
        </is>
      </c>
      <c r="F4" s="43" t="inlineStr">
        <is>
          <t>1. Ouvrir la note
2. + Ajouter ligne
3. Repas 8 500 FCFA
4. Upload reçu</t>
        </is>
      </c>
      <c r="G4" s="43" t="inlineStr">
        <is>
          <t>Ligne ajoutée, total mis à jour automatiquement en FCFA</t>
        </is>
      </c>
      <c r="H4" s="43" t="inlineStr"/>
      <c r="I4" s="42" t="inlineStr">
        <is>
          <t>⬜ Non exécuté</t>
        </is>
      </c>
      <c r="J4" s="43" t="inlineStr"/>
      <c r="K4" s="43" t="inlineStr"/>
      <c r="L4" s="43" t="inlineStr"/>
      <c r="M4" s="43" t="inlineStr"/>
      <c r="N4" s="43" t="inlineStr"/>
      <c r="O4" s="43" t="inlineStr">
        <is>
          <t>Sprint 1</t>
        </is>
      </c>
      <c r="P4" s="43" t="inlineStr">
        <is>
          <t>Production</t>
        </is>
      </c>
    </row>
    <row r="5" ht="58" customHeight="1">
      <c r="A5" s="61" t="inlineStr">
        <is>
          <t>FRA-003</t>
        </is>
      </c>
      <c r="B5" s="40" t="inlineStr">
        <is>
          <t>P1 — Critique</t>
        </is>
      </c>
      <c r="C5" s="41" t="inlineStr">
        <is>
          <t>Soumission note → statut 'submitted'</t>
        </is>
      </c>
      <c r="D5" s="41" t="inlineStr"/>
      <c r="E5" s="41" t="inlineStr">
        <is>
          <t>Note avec au moins 1 ligne</t>
        </is>
      </c>
      <c r="F5" s="41" t="inlineStr">
        <is>
          <t>1. Note brouillon → Soumettre</t>
        </is>
      </c>
      <c r="G5" s="41" t="inlineStr">
        <is>
          <t>Statut = submitted, manager notifié, modification impossible</t>
        </is>
      </c>
      <c r="H5" s="41" t="inlineStr"/>
      <c r="I5" s="42" t="inlineStr">
        <is>
          <t>⬜ Non exécuté</t>
        </is>
      </c>
      <c r="J5" s="41" t="inlineStr"/>
      <c r="K5" s="41" t="inlineStr"/>
      <c r="L5" s="41" t="inlineStr"/>
      <c r="M5" s="41" t="inlineStr"/>
      <c r="N5" s="41" t="inlineStr"/>
      <c r="O5" s="41" t="inlineStr">
        <is>
          <t>Sprint 1</t>
        </is>
      </c>
      <c r="P5" s="41" t="inlineStr">
        <is>
          <t>Production</t>
        </is>
      </c>
    </row>
    <row r="6" ht="58" customHeight="1">
      <c r="A6" s="61" t="inlineStr">
        <is>
          <t>FRA-004</t>
        </is>
      </c>
      <c r="B6" s="40" t="inlineStr">
        <is>
          <t>P1 — Critique</t>
        </is>
      </c>
      <c r="C6" s="43" t="inlineStr">
        <is>
          <t>Validation manager → statut 'approved'</t>
        </is>
      </c>
      <c r="D6" s="43" t="inlineStr"/>
      <c r="E6" s="43" t="inlineStr">
        <is>
          <t>Note submitted + manager connecté</t>
        </is>
      </c>
      <c r="F6" s="43" t="inlineStr">
        <is>
          <t>1. Manager → Notes à valider → Approuver</t>
        </is>
      </c>
      <c r="G6" s="43" t="inlineStr">
        <is>
          <t>Statut = approved, RH peut procéder au remboursement</t>
        </is>
      </c>
      <c r="H6" s="43" t="inlineStr"/>
      <c r="I6" s="42" t="inlineStr">
        <is>
          <t>⬜ Non exécuté</t>
        </is>
      </c>
      <c r="J6" s="43" t="inlineStr"/>
      <c r="K6" s="43" t="inlineStr"/>
      <c r="L6" s="43" t="inlineStr"/>
      <c r="M6" s="43" t="inlineStr"/>
      <c r="N6" s="43" t="inlineStr"/>
      <c r="O6" s="43" t="inlineStr">
        <is>
          <t>Sprint 1</t>
        </is>
      </c>
      <c r="P6" s="43" t="inlineStr">
        <is>
          <t>Production</t>
        </is>
      </c>
    </row>
    <row r="7" ht="58" customHeight="1">
      <c r="A7" s="61" t="inlineStr">
        <is>
          <t>FRA-005</t>
        </is>
      </c>
      <c r="B7" s="44" t="inlineStr">
        <is>
          <t>P2 — Haute</t>
        </is>
      </c>
      <c r="C7" s="41" t="inlineStr">
        <is>
          <t>Refus manager → statut 'rejected'</t>
        </is>
      </c>
      <c r="D7" s="41" t="inlineStr"/>
      <c r="E7" s="41" t="inlineStr"/>
      <c r="F7" s="41" t="inlineStr">
        <is>
          <t>1. Manager → Refuser avec motif</t>
        </is>
      </c>
      <c r="G7" s="41" t="inlineStr">
        <is>
          <t>Statut = rejected, employé notifié avec motif</t>
        </is>
      </c>
      <c r="H7" s="41" t="inlineStr"/>
      <c r="I7" s="42" t="inlineStr">
        <is>
          <t>⬜ Non exécuté</t>
        </is>
      </c>
      <c r="J7" s="41" t="inlineStr"/>
      <c r="K7" s="41" t="inlineStr"/>
      <c r="L7" s="41" t="inlineStr"/>
      <c r="M7" s="41" t="inlineStr"/>
      <c r="N7" s="41" t="inlineStr"/>
      <c r="O7" s="41" t="inlineStr">
        <is>
          <t>Sprint 1</t>
        </is>
      </c>
      <c r="P7" s="41" t="inlineStr">
        <is>
          <t>Production</t>
        </is>
      </c>
    </row>
    <row r="8" ht="58" customHeight="1">
      <c r="A8" s="61" t="inlineStr">
        <is>
          <t>FRA-006</t>
        </is>
      </c>
      <c r="B8" s="44" t="inlineStr">
        <is>
          <t>P2 — Haute</t>
        </is>
      </c>
      <c r="C8" s="43" t="inlineStr">
        <is>
          <t>Remboursement via Mobile Money</t>
        </is>
      </c>
      <c r="D8" s="43" t="inlineStr"/>
      <c r="E8" s="43" t="inlineStr">
        <is>
          <t>Note approuvée, numéro Mobile Money enregistré</t>
        </is>
      </c>
      <c r="F8" s="43" t="inlineStr">
        <is>
          <t>1. RH → Rembourser → Wave
2. Confirmer montant</t>
        </is>
      </c>
      <c r="G8" s="43" t="inlineStr">
        <is>
          <t>Paiement Mobile Money initié, statut = remboursé, référence TXN stockée</t>
        </is>
      </c>
      <c r="H8" s="43" t="inlineStr"/>
      <c r="I8" s="42" t="inlineStr">
        <is>
          <t>⬜ Non exécuté</t>
        </is>
      </c>
      <c r="J8" s="43" t="inlineStr"/>
      <c r="K8" s="43" t="inlineStr"/>
      <c r="L8" s="43" t="inlineStr"/>
      <c r="M8" s="43" t="inlineStr"/>
      <c r="N8" s="43" t="inlineStr"/>
      <c r="O8" s="43" t="inlineStr">
        <is>
          <t>Sprint 1</t>
        </is>
      </c>
      <c r="P8" s="43" t="inlineStr">
        <is>
          <t>Production</t>
        </is>
      </c>
    </row>
    <row r="9" ht="58" customHeight="1">
      <c r="A9" s="61" t="inlineStr">
        <is>
          <t>FRA-007</t>
        </is>
      </c>
      <c r="B9" s="44" t="inlineStr">
        <is>
          <t>P2 — Haute</t>
        </is>
      </c>
      <c r="C9" s="41" t="inlineStr">
        <is>
          <t>Sauvegarde brouillon autosave</t>
        </is>
      </c>
      <c r="D9" s="41" t="inlineStr"/>
      <c r="E9" s="41" t="inlineStr"/>
      <c r="F9" s="41" t="inlineStr">
        <is>
          <t>1. Modifier une note
2. Ne pas cliquer Sauvegarder
3. Quitter et revenir</t>
        </is>
      </c>
      <c r="G9" s="41" t="inlineStr">
        <is>
          <t>Modifications conservées (autosave ou confirmation de quitter)</t>
        </is>
      </c>
      <c r="H9" s="41" t="inlineStr"/>
      <c r="I9" s="42" t="inlineStr">
        <is>
          <t>⬜ Non exécuté</t>
        </is>
      </c>
      <c r="J9" s="41" t="inlineStr"/>
      <c r="K9" s="41" t="inlineStr"/>
      <c r="L9" s="41" t="inlineStr"/>
      <c r="M9" s="41" t="inlineStr"/>
      <c r="N9" s="41" t="inlineStr"/>
      <c r="O9" s="41" t="inlineStr">
        <is>
          <t>Sprint 1</t>
        </is>
      </c>
      <c r="P9" s="41" t="inlineStr">
        <is>
          <t>Production</t>
        </is>
      </c>
    </row>
    <row r="10" ht="58" customHeight="1">
      <c r="A10" s="61" t="inlineStr">
        <is>
          <t>FRA-008</t>
        </is>
      </c>
      <c r="B10" s="40" t="inlineStr">
        <is>
          <t>P1 — Critique</t>
        </is>
      </c>
      <c r="C10" s="43" t="inlineStr">
        <is>
          <t>Employee voit uniquement ses propres notes</t>
        </is>
      </c>
      <c r="D10" s="43" t="inlineStr"/>
      <c r="E10" s="43" t="inlineStr"/>
      <c r="F10" s="43" t="inlineStr">
        <is>
          <t>1. employe@sotra.ci → /mon-espace/notes-de-frais</t>
        </is>
      </c>
      <c r="G10" s="43" t="inlineStr">
        <is>
          <t>Seules ses propres notes affichées, jamais celles des collègues</t>
        </is>
      </c>
      <c r="H10" s="43" t="inlineStr"/>
      <c r="I10" s="42" t="inlineStr">
        <is>
          <t>⬜ Non exécuté</t>
        </is>
      </c>
      <c r="J10" s="43" t="inlineStr"/>
      <c r="K10" s="43" t="inlineStr"/>
      <c r="L10" s="43" t="inlineStr"/>
      <c r="M10" s="43" t="inlineStr"/>
      <c r="N10" s="43" t="inlineStr"/>
      <c r="O10" s="43" t="inlineStr">
        <is>
          <t>Sprint 1</t>
        </is>
      </c>
      <c r="P10" s="43" t="inlineStr">
        <is>
          <t>Production</t>
        </is>
      </c>
    </row>
  </sheetData>
  <mergeCells count="1">
    <mergeCell ref="A1:P1"/>
  </mergeCells>
  <conditionalFormatting sqref="A3:P10">
    <cfRule type="expression" priority="1" dxfId="0">
      <formula>$I3="✅ Passé"</formula>
    </cfRule>
    <cfRule type="expression" priority="2" dxfId="1">
      <formula>$I3="❌ Échoué"</formula>
    </cfRule>
    <cfRule type="expression" priority="3" dxfId="2">
      <formula>$I3="⚠️ Bloqué"</formula>
    </cfRule>
    <cfRule type="expression" priority="4" dxfId="3">
      <formula>$I3="▶️ En cours"</formula>
    </cfRule>
    <cfRule type="expression" priority="5" dxfId="4">
      <formula>$I3="⬜ Non exécuté"</formula>
    </cfRule>
  </conditionalFormatting>
  <dataValidations count="24">
    <dataValidation sqref="I3" showDropDown="0" showInputMessage="0" showErrorMessage="0" allowBlank="1" type="list">
      <formula1>"✅ Passé,❌ Échoué,⚠️ Bloqué,▶️ En cours,⬜ Non exécuté"</formula1>
    </dataValidation>
    <dataValidation sqref="B3" showDropDown="0" showInputMessage="0" showErrorMessage="0" allowBlank="1" type="list">
      <formula1>"P1 — Critique,P2 — Haute,P3 — Moyenne,P4 — Basse"</formula1>
    </dataValidation>
    <dataValidation sqref="P3" showDropDown="0" showInputMessage="0" showErrorMessage="0" allowBlank="1" type="list">
      <formula1>"Production,Preprod,Local"</formula1>
    </dataValidation>
    <dataValidation sqref="I4" showDropDown="0" showInputMessage="0" showErrorMessage="0" allowBlank="1" type="list">
      <formula1>"✅ Passé,❌ Échoué,⚠️ Bloqué,▶️ En cours,⬜ Non exécuté"</formula1>
    </dataValidation>
    <dataValidation sqref="B4" showDropDown="0" showInputMessage="0" showErrorMessage="0" allowBlank="1" type="list">
      <formula1>"P1 — Critique,P2 — Haute,P3 — Moyenne,P4 — Basse"</formula1>
    </dataValidation>
    <dataValidation sqref="P4" showDropDown="0" showInputMessage="0" showErrorMessage="0" allowBlank="1" type="list">
      <formula1>"Production,Preprod,Local"</formula1>
    </dataValidation>
    <dataValidation sqref="I5" showDropDown="0" showInputMessage="0" showErrorMessage="0" allowBlank="1" type="list">
      <formula1>"✅ Passé,❌ Échoué,⚠️ Bloqué,▶️ En cours,⬜ Non exécuté"</formula1>
    </dataValidation>
    <dataValidation sqref="B5" showDropDown="0" showInputMessage="0" showErrorMessage="0" allowBlank="1" type="list">
      <formula1>"P1 — Critique,P2 — Haute,P3 — Moyenne,P4 — Basse"</formula1>
    </dataValidation>
    <dataValidation sqref="P5" showDropDown="0" showInputMessage="0" showErrorMessage="0" allowBlank="1" type="list">
      <formula1>"Production,Preprod,Local"</formula1>
    </dataValidation>
    <dataValidation sqref="I6" showDropDown="0" showInputMessage="0" showErrorMessage="0" allowBlank="1" type="list">
      <formula1>"✅ Passé,❌ Échoué,⚠️ Bloqué,▶️ En cours,⬜ Non exécuté"</formula1>
    </dataValidation>
    <dataValidation sqref="B6" showDropDown="0" showInputMessage="0" showErrorMessage="0" allowBlank="1" type="list">
      <formula1>"P1 — Critique,P2 — Haute,P3 — Moyenne,P4 — Basse"</formula1>
    </dataValidation>
    <dataValidation sqref="P6" showDropDown="0" showInputMessage="0" showErrorMessage="0" allowBlank="1" type="list">
      <formula1>"Production,Preprod,Local"</formula1>
    </dataValidation>
    <dataValidation sqref="I7" showDropDown="0" showInputMessage="0" showErrorMessage="0" allowBlank="1" type="list">
      <formula1>"✅ Passé,❌ Échoué,⚠️ Bloqué,▶️ En cours,⬜ Non exécuté"</formula1>
    </dataValidation>
    <dataValidation sqref="B7" showDropDown="0" showInputMessage="0" showErrorMessage="0" allowBlank="1" type="list">
      <formula1>"P1 — Critique,P2 — Haute,P3 — Moyenne,P4 — Basse"</formula1>
    </dataValidation>
    <dataValidation sqref="P7" showDropDown="0" showInputMessage="0" showErrorMessage="0" allowBlank="1" type="list">
      <formula1>"Production,Preprod,Local"</formula1>
    </dataValidation>
    <dataValidation sqref="I8" showDropDown="0" showInputMessage="0" showErrorMessage="0" allowBlank="1" type="list">
      <formula1>"✅ Passé,❌ Échoué,⚠️ Bloqué,▶️ En cours,⬜ Non exécuté"</formula1>
    </dataValidation>
    <dataValidation sqref="B8" showDropDown="0" showInputMessage="0" showErrorMessage="0" allowBlank="1" type="list">
      <formula1>"P1 — Critique,P2 — Haute,P3 — Moyenne,P4 — Basse"</formula1>
    </dataValidation>
    <dataValidation sqref="P8" showDropDown="0" showInputMessage="0" showErrorMessage="0" allowBlank="1" type="list">
      <formula1>"Production,Preprod,Local"</formula1>
    </dataValidation>
    <dataValidation sqref="I9" showDropDown="0" showInputMessage="0" showErrorMessage="0" allowBlank="1" type="list">
      <formula1>"✅ Passé,❌ Échoué,⚠️ Bloqué,▶️ En cours,⬜ Non exécuté"</formula1>
    </dataValidation>
    <dataValidation sqref="B9" showDropDown="0" showInputMessage="0" showErrorMessage="0" allowBlank="1" type="list">
      <formula1>"P1 — Critique,P2 — Haute,P3 — Moyenne,P4 — Basse"</formula1>
    </dataValidation>
    <dataValidation sqref="P9" showDropDown="0" showInputMessage="0" showErrorMessage="0" allowBlank="1" type="list">
      <formula1>"Production,Preprod,Local"</formula1>
    </dataValidation>
    <dataValidation sqref="I10" showDropDown="0" showInputMessage="0" showErrorMessage="0" allowBlank="1" type="list">
      <formula1>"✅ Passé,❌ Échoué,⚠️ Bloqué,▶️ En cours,⬜ Non exécuté"</formula1>
    </dataValidation>
    <dataValidation sqref="B10" showDropDown="0" showInputMessage="0" showErrorMessage="0" allowBlank="1" type="list">
      <formula1>"P1 — Critique,P2 — Haute,P3 — Moyenne,P4 — Basse"</formula1>
    </dataValidation>
    <dataValidation sqref="P10" showDropDown="0" showInputMessage="0" showErrorMessage="0" allowBlank="1" type="list">
      <formula1>"Production,Preprod,Local"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P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38" customWidth="1" min="3" max="3"/>
    <col width="32" customWidth="1" min="4" max="4"/>
    <col width="30" customWidth="1" min="5" max="5"/>
    <col width="40" customWidth="1" min="6" max="6"/>
    <col width="38" customWidth="1" min="7" max="7"/>
    <col width="38" customWidth="1" min="8" max="8"/>
    <col width="18" customWidth="1" min="9" max="9"/>
    <col width="16" customWidth="1" min="10" max="10"/>
    <col width="13" customWidth="1" min="11" max="11"/>
    <col width="12" customWidth="1" min="12" max="12"/>
    <col width="24" customWidth="1" min="13" max="13"/>
    <col width="36" customWidth="1" min="14" max="14"/>
    <col width="10" customWidth="1" min="15" max="15"/>
    <col width="12" customWidth="1" min="16" max="16"/>
  </cols>
  <sheetData>
    <row r="1" ht="26" customHeight="1">
      <c r="A1" s="62" t="inlineStr">
        <is>
          <t xml:space="preserve">  CARRIÈRES &amp; COMPÉTENCES  ·  6 scénarios</t>
        </is>
      </c>
    </row>
    <row r="2" ht="22" customHeight="1">
      <c r="A2" s="39" t="inlineStr">
        <is>
          <t>ID Test</t>
        </is>
      </c>
      <c r="B2" s="39" t="inlineStr">
        <is>
          <t>Priorité</t>
        </is>
      </c>
      <c r="C2" s="39" t="inlineStr">
        <is>
          <t>Titre du scénario</t>
        </is>
      </c>
      <c r="D2" s="39" t="inlineStr">
        <is>
          <t>Description / Contexte</t>
        </is>
      </c>
      <c r="E2" s="39" t="inlineStr">
        <is>
          <t>Prérequis / Données</t>
        </is>
      </c>
      <c r="F2" s="39" t="inlineStr">
        <is>
          <t>Étapes détaillées</t>
        </is>
      </c>
      <c r="G2" s="39" t="inlineStr">
        <is>
          <t>Résultat attendu</t>
        </is>
      </c>
      <c r="H2" s="39" t="inlineStr">
        <is>
          <t>Résultat obtenu</t>
        </is>
      </c>
      <c r="I2" s="39" t="inlineStr">
        <is>
          <t>Statut</t>
        </is>
      </c>
      <c r="J2" s="39" t="inlineStr">
        <is>
          <t>Testeur</t>
        </is>
      </c>
      <c r="K2" s="39" t="inlineStr">
        <is>
          <t>Date test</t>
        </is>
      </c>
      <c r="L2" s="39" t="inlineStr">
        <is>
          <t>Durée (min)</t>
        </is>
      </c>
      <c r="M2" s="39" t="inlineStr">
        <is>
          <t>Ticket / Requalification</t>
        </is>
      </c>
      <c r="N2" s="39" t="inlineStr">
        <is>
          <t>Commentaire / Amélioration</t>
        </is>
      </c>
      <c r="O2" s="39" t="inlineStr">
        <is>
          <t>Sprint</t>
        </is>
      </c>
      <c r="P2" s="39" t="inlineStr">
        <is>
          <t>Env.</t>
        </is>
      </c>
    </row>
    <row r="3" ht="58" customHeight="1">
      <c r="A3" s="63" t="inlineStr">
        <is>
          <t>CAR-001</t>
        </is>
      </c>
      <c r="B3" s="40" t="inlineStr">
        <is>
          <t>P1 — Critique</t>
        </is>
      </c>
      <c r="C3" s="41" t="inlineStr">
        <is>
          <t>Référentiel compétences — création</t>
        </is>
      </c>
      <c r="D3" s="41" t="inlineStr"/>
      <c r="E3" s="41" t="inlineStr">
        <is>
          <t>Admin/RH connecté</t>
        </is>
      </c>
      <c r="F3" s="41" t="inlineStr">
        <is>
          <t>1. /careers/skills → Nouvelle compétence
2. Nom, catégorie (technique/comportemental/managérial)</t>
        </is>
      </c>
      <c r="G3" s="41" t="inlineStr">
        <is>
          <t>Compétence créée dans le référentiel</t>
        </is>
      </c>
      <c r="H3" s="41" t="inlineStr"/>
      <c r="I3" s="42" t="inlineStr">
        <is>
          <t>⬜ Non exécuté</t>
        </is>
      </c>
      <c r="J3" s="41" t="inlineStr"/>
      <c r="K3" s="41" t="inlineStr"/>
      <c r="L3" s="41" t="inlineStr"/>
      <c r="M3" s="41" t="inlineStr"/>
      <c r="N3" s="41" t="inlineStr"/>
      <c r="O3" s="41" t="inlineStr">
        <is>
          <t>Sprint 1</t>
        </is>
      </c>
      <c r="P3" s="41" t="inlineStr">
        <is>
          <t>Production</t>
        </is>
      </c>
    </row>
    <row r="4" ht="58" customHeight="1">
      <c r="A4" s="63" t="inlineStr">
        <is>
          <t>CAR-002</t>
        </is>
      </c>
      <c r="B4" s="44" t="inlineStr">
        <is>
          <t>P2 — Haute</t>
        </is>
      </c>
      <c r="C4" s="43" t="inlineStr">
        <is>
          <t>Attribution compétences à un employé</t>
        </is>
      </c>
      <c r="D4" s="43" t="inlineStr"/>
      <c r="E4" s="43" t="inlineStr"/>
      <c r="F4" s="43" t="inlineStr">
        <is>
          <t>1. Fiche employé → Compétences
2. Sélectionner compétence + niveau (1-5)
3. Sauvegarder</t>
        </is>
      </c>
      <c r="G4" s="43" t="inlineStr">
        <is>
          <t>Compétence liée à l'employé avec niveau</t>
        </is>
      </c>
      <c r="H4" s="43" t="inlineStr"/>
      <c r="I4" s="42" t="inlineStr">
        <is>
          <t>⬜ Non exécuté</t>
        </is>
      </c>
      <c r="J4" s="43" t="inlineStr"/>
      <c r="K4" s="43" t="inlineStr"/>
      <c r="L4" s="43" t="inlineStr"/>
      <c r="M4" s="43" t="inlineStr"/>
      <c r="N4" s="43" t="inlineStr"/>
      <c r="O4" s="43" t="inlineStr">
        <is>
          <t>Sprint 1</t>
        </is>
      </c>
      <c r="P4" s="43" t="inlineStr">
        <is>
          <t>Production</t>
        </is>
      </c>
    </row>
    <row r="5" ht="58" customHeight="1">
      <c r="A5" s="63" t="inlineStr">
        <is>
          <t>CAR-003</t>
        </is>
      </c>
      <c r="B5" s="40" t="inlineStr">
        <is>
          <t>P1 — Critique</t>
        </is>
      </c>
      <c r="C5" s="41" t="inlineStr">
        <is>
          <t>Entretien annuel — création et saisie</t>
        </is>
      </c>
      <c r="D5" s="41" t="inlineStr"/>
      <c r="E5" s="41" t="inlineStr"/>
      <c r="F5" s="41" t="inlineStr">
        <is>
          <t>1. /careers/evaluations → Nouvel entretien
2. Sélectionner employé, année
3. Saisir scores performance et compétences</t>
        </is>
      </c>
      <c r="G5" s="41" t="inlineStr">
        <is>
          <t>Entretien créé statut 'completed' avec scores et commentaires</t>
        </is>
      </c>
      <c r="H5" s="41" t="inlineStr"/>
      <c r="I5" s="42" t="inlineStr">
        <is>
          <t>⬜ Non exécuté</t>
        </is>
      </c>
      <c r="J5" s="41" t="inlineStr"/>
      <c r="K5" s="41" t="inlineStr"/>
      <c r="L5" s="41" t="inlineStr"/>
      <c r="M5" s="41" t="inlineStr"/>
      <c r="N5" s="41" t="inlineStr"/>
      <c r="O5" s="41" t="inlineStr">
        <is>
          <t>Sprint 1</t>
        </is>
      </c>
      <c r="P5" s="41" t="inlineStr">
        <is>
          <t>Production</t>
        </is>
      </c>
    </row>
    <row r="6" ht="58" customHeight="1">
      <c r="A6" s="63" t="inlineStr">
        <is>
          <t>CAR-004</t>
        </is>
      </c>
      <c r="B6" s="44" t="inlineStr">
        <is>
          <t>P2 — Haute</t>
        </is>
      </c>
      <c r="C6" s="43" t="inlineStr">
        <is>
          <t>Historique entretiens par employé</t>
        </is>
      </c>
      <c r="D6" s="43" t="inlineStr"/>
      <c r="E6" s="43" t="inlineStr"/>
      <c r="F6" s="43" t="inlineStr">
        <is>
          <t>1. Fiche employé → Entretiens</t>
        </is>
      </c>
      <c r="G6" s="43" t="inlineStr">
        <is>
          <t>Liste des entretiens triée par année, scores visibles</t>
        </is>
      </c>
      <c r="H6" s="43" t="inlineStr"/>
      <c r="I6" s="42" t="inlineStr">
        <is>
          <t>⬜ Non exécuté</t>
        </is>
      </c>
      <c r="J6" s="43" t="inlineStr"/>
      <c r="K6" s="43" t="inlineStr"/>
      <c r="L6" s="43" t="inlineStr"/>
      <c r="M6" s="43" t="inlineStr"/>
      <c r="N6" s="43" t="inlineStr"/>
      <c r="O6" s="43" t="inlineStr">
        <is>
          <t>Sprint 1</t>
        </is>
      </c>
      <c r="P6" s="43" t="inlineStr">
        <is>
          <t>Production</t>
        </is>
      </c>
    </row>
    <row r="7" ht="58" customHeight="1">
      <c r="A7" s="63" t="inlineStr">
        <is>
          <t>CAR-005</t>
        </is>
      </c>
      <c r="B7" s="45" t="inlineStr">
        <is>
          <t>P3 — Moyenne</t>
        </is>
      </c>
      <c r="C7" s="41" t="inlineStr">
        <is>
          <t>Vue 9-Box</t>
        </is>
      </c>
      <c r="D7" s="41" t="inlineStr">
        <is>
          <t>Performance vs Potentiel</t>
        </is>
      </c>
      <c r="E7" s="41" t="inlineStr">
        <is>
          <t>Évaluations avec scores</t>
        </is>
      </c>
      <c r="F7" s="41" t="inlineStr">
        <is>
          <t>1. /careers/9box</t>
        </is>
      </c>
      <c r="G7" s="41" t="inlineStr">
        <is>
          <t>Grille 9-box affichée avec positionnement des employés selon scores</t>
        </is>
      </c>
      <c r="H7" s="41" t="inlineStr"/>
      <c r="I7" s="42" t="inlineStr">
        <is>
          <t>⬜ Non exécuté</t>
        </is>
      </c>
      <c r="J7" s="41" t="inlineStr"/>
      <c r="K7" s="41" t="inlineStr"/>
      <c r="L7" s="41" t="inlineStr"/>
      <c r="M7" s="41" t="inlineStr"/>
      <c r="N7" s="41" t="inlineStr"/>
      <c r="O7" s="41" t="inlineStr">
        <is>
          <t>Sprint 1</t>
        </is>
      </c>
      <c r="P7" s="41" t="inlineStr">
        <is>
          <t>Production</t>
        </is>
      </c>
    </row>
    <row r="8" ht="58" customHeight="1">
      <c r="A8" s="63" t="inlineStr">
        <is>
          <t>CAR-006</t>
        </is>
      </c>
      <c r="B8" s="45" t="inlineStr">
        <is>
          <t>P3 — Moyenne</t>
        </is>
      </c>
      <c r="C8" s="43" t="inlineStr">
        <is>
          <t>Score rétention IA</t>
        </is>
      </c>
      <c r="D8" s="43" t="inlineStr">
        <is>
          <t>Calcul du risque de départ</t>
        </is>
      </c>
      <c r="E8" s="43" t="inlineStr">
        <is>
          <t>ANTHROPIC_API_KEY configuré</t>
        </is>
      </c>
      <c r="F8" s="43" t="inlineStr">
        <is>
          <t>1. /careers/retention → Analyser</t>
        </is>
      </c>
      <c r="G8" s="43" t="inlineStr">
        <is>
          <t>Score + niveau de risque (low/medium/high) + facteurs + recommandations en français</t>
        </is>
      </c>
      <c r="H8" s="43" t="inlineStr"/>
      <c r="I8" s="42" t="inlineStr">
        <is>
          <t>⬜ Non exécuté</t>
        </is>
      </c>
      <c r="J8" s="43" t="inlineStr"/>
      <c r="K8" s="43" t="inlineStr"/>
      <c r="L8" s="43" t="inlineStr"/>
      <c r="M8" s="43" t="inlineStr"/>
      <c r="N8" s="43" t="inlineStr"/>
      <c r="O8" s="43" t="inlineStr">
        <is>
          <t>Sprint 1</t>
        </is>
      </c>
      <c r="P8" s="43" t="inlineStr">
        <is>
          <t>Production</t>
        </is>
      </c>
    </row>
  </sheetData>
  <mergeCells count="1">
    <mergeCell ref="A1:P1"/>
  </mergeCells>
  <conditionalFormatting sqref="A3:P8">
    <cfRule type="expression" priority="1" dxfId="0">
      <formula>$I3="✅ Passé"</formula>
    </cfRule>
    <cfRule type="expression" priority="2" dxfId="1">
      <formula>$I3="❌ Échoué"</formula>
    </cfRule>
    <cfRule type="expression" priority="3" dxfId="2">
      <formula>$I3="⚠️ Bloqué"</formula>
    </cfRule>
    <cfRule type="expression" priority="4" dxfId="3">
      <formula>$I3="▶️ En cours"</formula>
    </cfRule>
    <cfRule type="expression" priority="5" dxfId="4">
      <formula>$I3="⬜ Non exécuté"</formula>
    </cfRule>
  </conditionalFormatting>
  <dataValidations count="18">
    <dataValidation sqref="I3" showDropDown="0" showInputMessage="0" showErrorMessage="0" allowBlank="1" type="list">
      <formula1>"✅ Passé,❌ Échoué,⚠️ Bloqué,▶️ En cours,⬜ Non exécuté"</formula1>
    </dataValidation>
    <dataValidation sqref="B3" showDropDown="0" showInputMessage="0" showErrorMessage="0" allowBlank="1" type="list">
      <formula1>"P1 — Critique,P2 — Haute,P3 — Moyenne,P4 — Basse"</formula1>
    </dataValidation>
    <dataValidation sqref="P3" showDropDown="0" showInputMessage="0" showErrorMessage="0" allowBlank="1" type="list">
      <formula1>"Production,Preprod,Local"</formula1>
    </dataValidation>
    <dataValidation sqref="I4" showDropDown="0" showInputMessage="0" showErrorMessage="0" allowBlank="1" type="list">
      <formula1>"✅ Passé,❌ Échoué,⚠️ Bloqué,▶️ En cours,⬜ Non exécuté"</formula1>
    </dataValidation>
    <dataValidation sqref="B4" showDropDown="0" showInputMessage="0" showErrorMessage="0" allowBlank="1" type="list">
      <formula1>"P1 — Critique,P2 — Haute,P3 — Moyenne,P4 — Basse"</formula1>
    </dataValidation>
    <dataValidation sqref="P4" showDropDown="0" showInputMessage="0" showErrorMessage="0" allowBlank="1" type="list">
      <formula1>"Production,Preprod,Local"</formula1>
    </dataValidation>
    <dataValidation sqref="I5" showDropDown="0" showInputMessage="0" showErrorMessage="0" allowBlank="1" type="list">
      <formula1>"✅ Passé,❌ Échoué,⚠️ Bloqué,▶️ En cours,⬜ Non exécuté"</formula1>
    </dataValidation>
    <dataValidation sqref="B5" showDropDown="0" showInputMessage="0" showErrorMessage="0" allowBlank="1" type="list">
      <formula1>"P1 — Critique,P2 — Haute,P3 — Moyenne,P4 — Basse"</formula1>
    </dataValidation>
    <dataValidation sqref="P5" showDropDown="0" showInputMessage="0" showErrorMessage="0" allowBlank="1" type="list">
      <formula1>"Production,Preprod,Local"</formula1>
    </dataValidation>
    <dataValidation sqref="I6" showDropDown="0" showInputMessage="0" showErrorMessage="0" allowBlank="1" type="list">
      <formula1>"✅ Passé,❌ Échoué,⚠️ Bloqué,▶️ En cours,⬜ Non exécuté"</formula1>
    </dataValidation>
    <dataValidation sqref="B6" showDropDown="0" showInputMessage="0" showErrorMessage="0" allowBlank="1" type="list">
      <formula1>"P1 — Critique,P2 — Haute,P3 — Moyenne,P4 — Basse"</formula1>
    </dataValidation>
    <dataValidation sqref="P6" showDropDown="0" showInputMessage="0" showErrorMessage="0" allowBlank="1" type="list">
      <formula1>"Production,Preprod,Local"</formula1>
    </dataValidation>
    <dataValidation sqref="I7" showDropDown="0" showInputMessage="0" showErrorMessage="0" allowBlank="1" type="list">
      <formula1>"✅ Passé,❌ Échoué,⚠️ Bloqué,▶️ En cours,⬜ Non exécuté"</formula1>
    </dataValidation>
    <dataValidation sqref="B7" showDropDown="0" showInputMessage="0" showErrorMessage="0" allowBlank="1" type="list">
      <formula1>"P1 — Critique,P2 — Haute,P3 — Moyenne,P4 — Basse"</formula1>
    </dataValidation>
    <dataValidation sqref="P7" showDropDown="0" showInputMessage="0" showErrorMessage="0" allowBlank="1" type="list">
      <formula1>"Production,Preprod,Local"</formula1>
    </dataValidation>
    <dataValidation sqref="I8" showDropDown="0" showInputMessage="0" showErrorMessage="0" allowBlank="1" type="list">
      <formula1>"✅ Passé,❌ Échoué,⚠️ Bloqué,▶️ En cours,⬜ Non exécuté"</formula1>
    </dataValidation>
    <dataValidation sqref="B8" showDropDown="0" showInputMessage="0" showErrorMessage="0" allowBlank="1" type="list">
      <formula1>"P1 — Critique,P2 — Haute,P3 — Moyenne,P4 — Basse"</formula1>
    </dataValidation>
    <dataValidation sqref="P8" showDropDown="0" showInputMessage="0" showErrorMessage="0" allowBlank="1" type="list">
      <formula1>"Production,Preprod,Local"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1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38" customWidth="1" min="3" max="3"/>
    <col width="32" customWidth="1" min="4" max="4"/>
    <col width="30" customWidth="1" min="5" max="5"/>
    <col width="40" customWidth="1" min="6" max="6"/>
    <col width="38" customWidth="1" min="7" max="7"/>
    <col width="38" customWidth="1" min="8" max="8"/>
    <col width="18" customWidth="1" min="9" max="9"/>
    <col width="16" customWidth="1" min="10" max="10"/>
    <col width="13" customWidth="1" min="11" max="11"/>
    <col width="12" customWidth="1" min="12" max="12"/>
    <col width="24" customWidth="1" min="13" max="13"/>
    <col width="36" customWidth="1" min="14" max="14"/>
    <col width="10" customWidth="1" min="15" max="15"/>
    <col width="12" customWidth="1" min="16" max="16"/>
  </cols>
  <sheetData>
    <row r="1" ht="26" customHeight="1">
      <c r="A1" s="48" t="inlineStr">
        <is>
          <t xml:space="preserve">  DÉCLARATIONS CNPS &amp; DISA  ·  8 scénarios</t>
        </is>
      </c>
    </row>
    <row r="2" ht="22" customHeight="1">
      <c r="A2" s="39" t="inlineStr">
        <is>
          <t>ID Test</t>
        </is>
      </c>
      <c r="B2" s="39" t="inlineStr">
        <is>
          <t>Priorité</t>
        </is>
      </c>
      <c r="C2" s="39" t="inlineStr">
        <is>
          <t>Titre du scénario</t>
        </is>
      </c>
      <c r="D2" s="39" t="inlineStr">
        <is>
          <t>Description / Contexte</t>
        </is>
      </c>
      <c r="E2" s="39" t="inlineStr">
        <is>
          <t>Prérequis / Données</t>
        </is>
      </c>
      <c r="F2" s="39" t="inlineStr">
        <is>
          <t>Étapes détaillées</t>
        </is>
      </c>
      <c r="G2" s="39" t="inlineStr">
        <is>
          <t>Résultat attendu</t>
        </is>
      </c>
      <c r="H2" s="39" t="inlineStr">
        <is>
          <t>Résultat obtenu</t>
        </is>
      </c>
      <c r="I2" s="39" t="inlineStr">
        <is>
          <t>Statut</t>
        </is>
      </c>
      <c r="J2" s="39" t="inlineStr">
        <is>
          <t>Testeur</t>
        </is>
      </c>
      <c r="K2" s="39" t="inlineStr">
        <is>
          <t>Date test</t>
        </is>
      </c>
      <c r="L2" s="39" t="inlineStr">
        <is>
          <t>Durée (min)</t>
        </is>
      </c>
      <c r="M2" s="39" t="inlineStr">
        <is>
          <t>Ticket / Requalification</t>
        </is>
      </c>
      <c r="N2" s="39" t="inlineStr">
        <is>
          <t>Commentaire / Amélioration</t>
        </is>
      </c>
      <c r="O2" s="39" t="inlineStr">
        <is>
          <t>Sprint</t>
        </is>
      </c>
      <c r="P2" s="39" t="inlineStr">
        <is>
          <t>Env.</t>
        </is>
      </c>
    </row>
    <row r="3" ht="58" customHeight="1">
      <c r="A3" s="49" t="inlineStr">
        <is>
          <t>CNP-001</t>
        </is>
      </c>
      <c r="B3" s="40" t="inlineStr">
        <is>
          <t>P1 — Critique</t>
        </is>
      </c>
      <c r="C3" s="41" t="inlineStr">
        <is>
          <t>Génération déclaration mensuelle CNPS</t>
        </is>
      </c>
      <c r="D3" s="41" t="inlineStr"/>
      <c r="E3" s="41" t="inlineStr">
        <is>
          <t>Bulletins clôturés du mois</t>
        </is>
      </c>
      <c r="F3" s="41" t="inlineStr">
        <is>
          <t>1. /cnps/declarations → Générer pour Mai 2025</t>
        </is>
      </c>
      <c r="G3" s="41" t="inlineStr">
        <is>
          <t>Déclaration créée avec total cotisations salariales et patronales en FCFA</t>
        </is>
      </c>
      <c r="H3" s="41" t="inlineStr"/>
      <c r="I3" s="42" t="inlineStr">
        <is>
          <t>⬜ Non exécuté</t>
        </is>
      </c>
      <c r="J3" s="41" t="inlineStr"/>
      <c r="K3" s="41" t="inlineStr"/>
      <c r="L3" s="41" t="inlineStr"/>
      <c r="M3" s="41" t="inlineStr"/>
      <c r="N3" s="41" t="inlineStr"/>
      <c r="O3" s="41" t="inlineStr">
        <is>
          <t>Sprint 1</t>
        </is>
      </c>
      <c r="P3" s="41" t="inlineStr">
        <is>
          <t>Production</t>
        </is>
      </c>
    </row>
    <row r="4" ht="58" customHeight="1">
      <c r="A4" s="49" t="inlineStr">
        <is>
          <t>CNP-002</t>
        </is>
      </c>
      <c r="B4" s="40" t="inlineStr">
        <is>
          <t>P1 — Critique</t>
        </is>
      </c>
      <c r="C4" s="43" t="inlineStr">
        <is>
          <t>Export e-CNPS CSV format officiel</t>
        </is>
      </c>
      <c r="D4" s="43" t="inlineStr"/>
      <c r="E4" s="43" t="inlineStr">
        <is>
          <t>Déclaration générée</t>
        </is>
      </c>
      <c r="F4" s="43" t="inlineStr">
        <is>
          <t>1. Déclaration → Exporter CSV</t>
        </is>
      </c>
      <c r="G4" s="43" t="inlineStr">
        <is>
          <t>CSV téléchargé compatible plateforme e-CNPS CI, format correct</t>
        </is>
      </c>
      <c r="H4" s="43" t="inlineStr"/>
      <c r="I4" s="42" t="inlineStr">
        <is>
          <t>⬜ Non exécuté</t>
        </is>
      </c>
      <c r="J4" s="43" t="inlineStr"/>
      <c r="K4" s="43" t="inlineStr"/>
      <c r="L4" s="43" t="inlineStr"/>
      <c r="M4" s="43" t="inlineStr"/>
      <c r="N4" s="43" t="inlineStr"/>
      <c r="O4" s="43" t="inlineStr">
        <is>
          <t>Sprint 1</t>
        </is>
      </c>
      <c r="P4" s="43" t="inlineStr">
        <is>
          <t>Production</t>
        </is>
      </c>
    </row>
    <row r="5" ht="58" customHeight="1">
      <c r="A5" s="49" t="inlineStr">
        <is>
          <t>CNP-003</t>
        </is>
      </c>
      <c r="B5" s="44" t="inlineStr">
        <is>
          <t>P2 — Haute</t>
        </is>
      </c>
      <c r="C5" s="41" t="inlineStr">
        <is>
          <t>Alerte date limite déclaration (avant le 15)</t>
        </is>
      </c>
      <c r="D5" s="41" t="inlineStr"/>
      <c r="E5" s="41" t="inlineStr">
        <is>
          <t>En date du 10 du mois</t>
        </is>
      </c>
      <c r="F5" s="41" t="inlineStr">
        <is>
          <t>1. Observer le dashboard admin</t>
        </is>
      </c>
      <c r="G5" s="41" t="inlineStr">
        <is>
          <t>Alerte 'Déclaration CNPS à soumettre avant le 15' visible</t>
        </is>
      </c>
      <c r="H5" s="41" t="inlineStr"/>
      <c r="I5" s="42" t="inlineStr">
        <is>
          <t>⬜ Non exécuté</t>
        </is>
      </c>
      <c r="J5" s="41" t="inlineStr"/>
      <c r="K5" s="41" t="inlineStr"/>
      <c r="L5" s="41" t="inlineStr"/>
      <c r="M5" s="41" t="inlineStr"/>
      <c r="N5" s="41" t="inlineStr"/>
      <c r="O5" s="41" t="inlineStr">
        <is>
          <t>Sprint 1</t>
        </is>
      </c>
      <c r="P5" s="41" t="inlineStr">
        <is>
          <t>Production</t>
        </is>
      </c>
    </row>
    <row r="6" ht="58" customHeight="1">
      <c r="A6" s="49" t="inlineStr">
        <is>
          <t>CNP-004</t>
        </is>
      </c>
      <c r="B6" s="40" t="inlineStr">
        <is>
          <t>P1 — Critique</t>
        </is>
      </c>
      <c r="C6" s="43" t="inlineStr">
        <is>
          <t>Génération DISA annuelle</t>
        </is>
      </c>
      <c r="D6" s="43" t="inlineStr">
        <is>
          <t>Déclaration Individuelle Salaires Annuels</t>
        </is>
      </c>
      <c r="E6" s="43" t="inlineStr">
        <is>
          <t>12 mois de bulletins</t>
        </is>
      </c>
      <c r="F6" s="43" t="inlineStr">
        <is>
          <t>1. /cnps/disa → Générer DISA 2025</t>
        </is>
      </c>
      <c r="G6" s="43" t="inlineStr">
        <is>
          <t>DISA créée pour chaque employé avec cumuls annuels salaire brut + cotisations + ITS</t>
        </is>
      </c>
      <c r="H6" s="43" t="inlineStr"/>
      <c r="I6" s="42" t="inlineStr">
        <is>
          <t>⬜ Non exécuté</t>
        </is>
      </c>
      <c r="J6" s="43" t="inlineStr"/>
      <c r="K6" s="43" t="inlineStr"/>
      <c r="L6" s="43" t="inlineStr"/>
      <c r="M6" s="43" t="inlineStr"/>
      <c r="N6" s="43" t="inlineStr"/>
      <c r="O6" s="43" t="inlineStr">
        <is>
          <t>Sprint 1</t>
        </is>
      </c>
      <c r="P6" s="43" t="inlineStr">
        <is>
          <t>Production</t>
        </is>
      </c>
    </row>
    <row r="7" ht="58" customHeight="1">
      <c r="A7" s="49" t="inlineStr">
        <is>
          <t>CNP-005</t>
        </is>
      </c>
      <c r="B7" s="44" t="inlineStr">
        <is>
          <t>P2 — Haute</t>
        </is>
      </c>
      <c r="C7" s="41" t="inlineStr">
        <is>
          <t>Export DISA (CSV/XML)</t>
        </is>
      </c>
      <c r="D7" s="41" t="inlineStr"/>
      <c r="E7" s="41" t="inlineStr">
        <is>
          <t>DISA générée</t>
        </is>
      </c>
      <c r="F7" s="41" t="inlineStr">
        <is>
          <t>1. DISA → Exporter</t>
        </is>
      </c>
      <c r="G7" s="41" t="inlineStr">
        <is>
          <t>Fichier DISA téléchargé au format requis par CNPS/DGI</t>
        </is>
      </c>
      <c r="H7" s="41" t="inlineStr"/>
      <c r="I7" s="42" t="inlineStr">
        <is>
          <t>⬜ Non exécuté</t>
        </is>
      </c>
      <c r="J7" s="41" t="inlineStr"/>
      <c r="K7" s="41" t="inlineStr"/>
      <c r="L7" s="41" t="inlineStr"/>
      <c r="M7" s="41" t="inlineStr"/>
      <c r="N7" s="41" t="inlineStr"/>
      <c r="O7" s="41" t="inlineStr">
        <is>
          <t>Sprint 1</t>
        </is>
      </c>
      <c r="P7" s="41" t="inlineStr">
        <is>
          <t>Production</t>
        </is>
      </c>
    </row>
    <row r="8" ht="58" customHeight="1">
      <c r="A8" s="49" t="inlineStr">
        <is>
          <t>CNP-006</t>
        </is>
      </c>
      <c r="B8" s="40" t="inlineStr">
        <is>
          <t>P1 — Critique</t>
        </is>
      </c>
      <c r="C8" s="43" t="inlineStr">
        <is>
          <t>RNS PDF généré — formulaire EN-GDAV-06 v03</t>
        </is>
      </c>
      <c r="D8" s="43" t="inlineStr">
        <is>
          <t>Relevé Nominatif des Salaires</t>
        </is>
      </c>
      <c r="E8" s="43" t="inlineStr">
        <is>
          <t>rns-template.pdf copié dans dist/assets (fix Dockerfile)</t>
        </is>
      </c>
      <c r="F8" s="43" t="inlineStr">
        <is>
          <t>1. /cnps/rns → GET /cnps/rns/2026/pdf</t>
        </is>
      </c>
      <c r="G8" s="43" t="inlineStr">
        <is>
          <t>PDF téléchargé avec données employeur, liste employés, salaires annuels en FCFA</t>
        </is>
      </c>
      <c r="H8" s="43" t="inlineStr"/>
      <c r="I8" s="42" t="inlineStr">
        <is>
          <t>⬜ Non exécuté</t>
        </is>
      </c>
      <c r="J8" s="43" t="inlineStr"/>
      <c r="K8" s="43" t="inlineStr"/>
      <c r="L8" s="43" t="inlineStr"/>
      <c r="M8" s="43" t="inlineStr"/>
      <c r="N8" s="43" t="inlineStr"/>
      <c r="O8" s="43" t="inlineStr">
        <is>
          <t>Sprint 1</t>
        </is>
      </c>
      <c r="P8" s="43" t="inlineStr">
        <is>
          <t>Production</t>
        </is>
      </c>
    </row>
    <row r="9" ht="58" customHeight="1">
      <c r="A9" s="49" t="inlineStr">
        <is>
          <t>CNP-007</t>
        </is>
      </c>
      <c r="B9" s="44" t="inlineStr">
        <is>
          <t>P2 — Haute</t>
        </is>
      </c>
      <c r="C9" s="41" t="inlineStr">
        <is>
          <t>RNS filtré par employé</t>
        </is>
      </c>
      <c r="D9" s="41" t="inlineStr"/>
      <c r="E9" s="41" t="inlineStr"/>
      <c r="F9" s="41" t="inlineStr">
        <is>
          <t>1. GET /cnps/rns/2026/pdf?employeeId=XXX</t>
        </is>
      </c>
      <c r="G9" s="41" t="inlineStr">
        <is>
          <t>PDF généré pour un seul employé</t>
        </is>
      </c>
      <c r="H9" s="41" t="inlineStr"/>
      <c r="I9" s="42" t="inlineStr">
        <is>
          <t>⬜ Non exécuté</t>
        </is>
      </c>
      <c r="J9" s="41" t="inlineStr"/>
      <c r="K9" s="41" t="inlineStr"/>
      <c r="L9" s="41" t="inlineStr"/>
      <c r="M9" s="41" t="inlineStr"/>
      <c r="N9" s="41" t="inlineStr"/>
      <c r="O9" s="41" t="inlineStr">
        <is>
          <t>Sprint 1</t>
        </is>
      </c>
      <c r="P9" s="41" t="inlineStr">
        <is>
          <t>Production</t>
        </is>
      </c>
    </row>
    <row r="10" ht="58" customHeight="1">
      <c r="A10" s="49" t="inlineStr">
        <is>
          <t>CNP-008</t>
        </is>
      </c>
      <c r="B10" s="45" t="inlineStr">
        <is>
          <t>P3 — Moyenne</t>
        </is>
      </c>
      <c r="C10" s="43" t="inlineStr">
        <is>
          <t>Attestation conformité CNPS</t>
        </is>
      </c>
      <c r="D10" s="43" t="inlineStr"/>
      <c r="E10" s="43" t="inlineStr"/>
      <c r="F10" s="43" t="inlineStr">
        <is>
          <t>1. /cnps/employers/certificate</t>
        </is>
      </c>
      <c r="G10" s="43" t="inlineStr">
        <is>
          <t>Attestation PDF téléchargée</t>
        </is>
      </c>
      <c r="H10" s="43" t="inlineStr"/>
      <c r="I10" s="42" t="inlineStr">
        <is>
          <t>⬜ Non exécuté</t>
        </is>
      </c>
      <c r="J10" s="43" t="inlineStr"/>
      <c r="K10" s="43" t="inlineStr"/>
      <c r="L10" s="43" t="inlineStr"/>
      <c r="M10" s="43" t="inlineStr"/>
      <c r="N10" s="43" t="inlineStr"/>
      <c r="O10" s="43" t="inlineStr">
        <is>
          <t>Sprint 1</t>
        </is>
      </c>
      <c r="P10" s="43" t="inlineStr">
        <is>
          <t>Production</t>
        </is>
      </c>
    </row>
  </sheetData>
  <mergeCells count="1">
    <mergeCell ref="A1:P1"/>
  </mergeCells>
  <conditionalFormatting sqref="A3:P10">
    <cfRule type="expression" priority="1" dxfId="0">
      <formula>$I3="✅ Passé"</formula>
    </cfRule>
    <cfRule type="expression" priority="2" dxfId="1">
      <formula>$I3="❌ Échoué"</formula>
    </cfRule>
    <cfRule type="expression" priority="3" dxfId="2">
      <formula>$I3="⚠️ Bloqué"</formula>
    </cfRule>
    <cfRule type="expression" priority="4" dxfId="3">
      <formula>$I3="▶️ En cours"</formula>
    </cfRule>
    <cfRule type="expression" priority="5" dxfId="4">
      <formula>$I3="⬜ Non exécuté"</formula>
    </cfRule>
  </conditionalFormatting>
  <dataValidations count="24">
    <dataValidation sqref="I3" showDropDown="0" showInputMessage="0" showErrorMessage="0" allowBlank="1" type="list">
      <formula1>"✅ Passé,❌ Échoué,⚠️ Bloqué,▶️ En cours,⬜ Non exécuté"</formula1>
    </dataValidation>
    <dataValidation sqref="B3" showDropDown="0" showInputMessage="0" showErrorMessage="0" allowBlank="1" type="list">
      <formula1>"P1 — Critique,P2 — Haute,P3 — Moyenne,P4 — Basse"</formula1>
    </dataValidation>
    <dataValidation sqref="P3" showDropDown="0" showInputMessage="0" showErrorMessage="0" allowBlank="1" type="list">
      <formula1>"Production,Preprod,Local"</formula1>
    </dataValidation>
    <dataValidation sqref="I4" showDropDown="0" showInputMessage="0" showErrorMessage="0" allowBlank="1" type="list">
      <formula1>"✅ Passé,❌ Échoué,⚠️ Bloqué,▶️ En cours,⬜ Non exécuté"</formula1>
    </dataValidation>
    <dataValidation sqref="B4" showDropDown="0" showInputMessage="0" showErrorMessage="0" allowBlank="1" type="list">
      <formula1>"P1 — Critique,P2 — Haute,P3 — Moyenne,P4 — Basse"</formula1>
    </dataValidation>
    <dataValidation sqref="P4" showDropDown="0" showInputMessage="0" showErrorMessage="0" allowBlank="1" type="list">
      <formula1>"Production,Preprod,Local"</formula1>
    </dataValidation>
    <dataValidation sqref="I5" showDropDown="0" showInputMessage="0" showErrorMessage="0" allowBlank="1" type="list">
      <formula1>"✅ Passé,❌ Échoué,⚠️ Bloqué,▶️ En cours,⬜ Non exécuté"</formula1>
    </dataValidation>
    <dataValidation sqref="B5" showDropDown="0" showInputMessage="0" showErrorMessage="0" allowBlank="1" type="list">
      <formula1>"P1 — Critique,P2 — Haute,P3 — Moyenne,P4 — Basse"</formula1>
    </dataValidation>
    <dataValidation sqref="P5" showDropDown="0" showInputMessage="0" showErrorMessage="0" allowBlank="1" type="list">
      <formula1>"Production,Preprod,Local"</formula1>
    </dataValidation>
    <dataValidation sqref="I6" showDropDown="0" showInputMessage="0" showErrorMessage="0" allowBlank="1" type="list">
      <formula1>"✅ Passé,❌ Échoué,⚠️ Bloqué,▶️ En cours,⬜ Non exécuté"</formula1>
    </dataValidation>
    <dataValidation sqref="B6" showDropDown="0" showInputMessage="0" showErrorMessage="0" allowBlank="1" type="list">
      <formula1>"P1 — Critique,P2 — Haute,P3 — Moyenne,P4 — Basse"</formula1>
    </dataValidation>
    <dataValidation sqref="P6" showDropDown="0" showInputMessage="0" showErrorMessage="0" allowBlank="1" type="list">
      <formula1>"Production,Preprod,Local"</formula1>
    </dataValidation>
    <dataValidation sqref="I7" showDropDown="0" showInputMessage="0" showErrorMessage="0" allowBlank="1" type="list">
      <formula1>"✅ Passé,❌ Échoué,⚠️ Bloqué,▶️ En cours,⬜ Non exécuté"</formula1>
    </dataValidation>
    <dataValidation sqref="B7" showDropDown="0" showInputMessage="0" showErrorMessage="0" allowBlank="1" type="list">
      <formula1>"P1 — Critique,P2 — Haute,P3 — Moyenne,P4 — Basse"</formula1>
    </dataValidation>
    <dataValidation sqref="P7" showDropDown="0" showInputMessage="0" showErrorMessage="0" allowBlank="1" type="list">
      <formula1>"Production,Preprod,Local"</formula1>
    </dataValidation>
    <dataValidation sqref="I8" showDropDown="0" showInputMessage="0" showErrorMessage="0" allowBlank="1" type="list">
      <formula1>"✅ Passé,❌ Échoué,⚠️ Bloqué,▶️ En cours,⬜ Non exécuté"</formula1>
    </dataValidation>
    <dataValidation sqref="B8" showDropDown="0" showInputMessage="0" showErrorMessage="0" allowBlank="1" type="list">
      <formula1>"P1 — Critique,P2 — Haute,P3 — Moyenne,P4 — Basse"</formula1>
    </dataValidation>
    <dataValidation sqref="P8" showDropDown="0" showInputMessage="0" showErrorMessage="0" allowBlank="1" type="list">
      <formula1>"Production,Preprod,Local"</formula1>
    </dataValidation>
    <dataValidation sqref="I9" showDropDown="0" showInputMessage="0" showErrorMessage="0" allowBlank="1" type="list">
      <formula1>"✅ Passé,❌ Échoué,⚠️ Bloqué,▶️ En cours,⬜ Non exécuté"</formula1>
    </dataValidation>
    <dataValidation sqref="B9" showDropDown="0" showInputMessage="0" showErrorMessage="0" allowBlank="1" type="list">
      <formula1>"P1 — Critique,P2 — Haute,P3 — Moyenne,P4 — Basse"</formula1>
    </dataValidation>
    <dataValidation sqref="P9" showDropDown="0" showInputMessage="0" showErrorMessage="0" allowBlank="1" type="list">
      <formula1>"Production,Preprod,Local"</formula1>
    </dataValidation>
    <dataValidation sqref="I10" showDropDown="0" showInputMessage="0" showErrorMessage="0" allowBlank="1" type="list">
      <formula1>"✅ Passé,❌ Échoué,⚠️ Bloqué,▶️ En cours,⬜ Non exécuté"</formula1>
    </dataValidation>
    <dataValidation sqref="B10" showDropDown="0" showInputMessage="0" showErrorMessage="0" allowBlank="1" type="list">
      <formula1>"P1 — Critique,P2 — Haute,P3 — Moyenne,P4 — Basse"</formula1>
    </dataValidation>
    <dataValidation sqref="P10" showDropDown="0" showInputMessage="0" showErrorMessage="0" allowBlank="1" type="list">
      <formula1>"Production,Preprod,Local"</formula1>
    </dataValidation>
  </dataValidation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P11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38" customWidth="1" min="3" max="3"/>
    <col width="32" customWidth="1" min="4" max="4"/>
    <col width="30" customWidth="1" min="5" max="5"/>
    <col width="40" customWidth="1" min="6" max="6"/>
    <col width="38" customWidth="1" min="7" max="7"/>
    <col width="38" customWidth="1" min="8" max="8"/>
    <col width="18" customWidth="1" min="9" max="9"/>
    <col width="16" customWidth="1" min="10" max="10"/>
    <col width="13" customWidth="1" min="11" max="11"/>
    <col width="12" customWidth="1" min="12" max="12"/>
    <col width="24" customWidth="1" min="13" max="13"/>
    <col width="36" customWidth="1" min="14" max="14"/>
    <col width="10" customWidth="1" min="15" max="15"/>
    <col width="12" customWidth="1" min="16" max="16"/>
  </cols>
  <sheetData>
    <row r="1" ht="26" customHeight="1">
      <c r="A1" s="52" t="inlineStr">
        <is>
          <t xml:space="preserve">  PAIEMENTS MOBILE MONEY  ·  9 scénarios</t>
        </is>
      </c>
    </row>
    <row r="2" ht="22" customHeight="1">
      <c r="A2" s="39" t="inlineStr">
        <is>
          <t>ID Test</t>
        </is>
      </c>
      <c r="B2" s="39" t="inlineStr">
        <is>
          <t>Priorité</t>
        </is>
      </c>
      <c r="C2" s="39" t="inlineStr">
        <is>
          <t>Titre du scénario</t>
        </is>
      </c>
      <c r="D2" s="39" t="inlineStr">
        <is>
          <t>Description / Contexte</t>
        </is>
      </c>
      <c r="E2" s="39" t="inlineStr">
        <is>
          <t>Prérequis / Données</t>
        </is>
      </c>
      <c r="F2" s="39" t="inlineStr">
        <is>
          <t>Étapes détaillées</t>
        </is>
      </c>
      <c r="G2" s="39" t="inlineStr">
        <is>
          <t>Résultat attendu</t>
        </is>
      </c>
      <c r="H2" s="39" t="inlineStr">
        <is>
          <t>Résultat obtenu</t>
        </is>
      </c>
      <c r="I2" s="39" t="inlineStr">
        <is>
          <t>Statut</t>
        </is>
      </c>
      <c r="J2" s="39" t="inlineStr">
        <is>
          <t>Testeur</t>
        </is>
      </c>
      <c r="K2" s="39" t="inlineStr">
        <is>
          <t>Date test</t>
        </is>
      </c>
      <c r="L2" s="39" t="inlineStr">
        <is>
          <t>Durée (min)</t>
        </is>
      </c>
      <c r="M2" s="39" t="inlineStr">
        <is>
          <t>Ticket / Requalification</t>
        </is>
      </c>
      <c r="N2" s="39" t="inlineStr">
        <is>
          <t>Commentaire / Amélioration</t>
        </is>
      </c>
      <c r="O2" s="39" t="inlineStr">
        <is>
          <t>Sprint</t>
        </is>
      </c>
      <c r="P2" s="39" t="inlineStr">
        <is>
          <t>Env.</t>
        </is>
      </c>
    </row>
    <row r="3" ht="58" customHeight="1">
      <c r="A3" s="53" t="inlineStr">
        <is>
          <t>MM-001</t>
        </is>
      </c>
      <c r="B3" s="40" t="inlineStr">
        <is>
          <t>P1 — Critique</t>
        </is>
      </c>
      <c r="C3" s="41" t="inlineStr">
        <is>
          <t>Création campagne virement salaires</t>
        </is>
      </c>
      <c r="D3" s="41" t="inlineStr"/>
      <c r="E3" s="41" t="inlineStr">
        <is>
          <t>Bulletins générés + clôturés</t>
        </is>
      </c>
      <c r="F3" s="41" t="inlineStr">
        <is>
          <t>1. /payroll/mobile-money/campaigns → Nouvelle campagne
2. Sélectionner période</t>
        </is>
      </c>
      <c r="G3" s="41" t="inlineStr">
        <is>
          <t>Campagne créée avec liste des 80 virements à effectuer</t>
        </is>
      </c>
      <c r="H3" s="41" t="inlineStr"/>
      <c r="I3" s="42" t="inlineStr">
        <is>
          <t>⬜ Non exécuté</t>
        </is>
      </c>
      <c r="J3" s="41" t="inlineStr"/>
      <c r="K3" s="41" t="inlineStr"/>
      <c r="L3" s="41" t="inlineStr"/>
      <c r="M3" s="41" t="inlineStr"/>
      <c r="N3" s="41" t="inlineStr"/>
      <c r="O3" s="41" t="inlineStr">
        <is>
          <t>Sprint 1</t>
        </is>
      </c>
      <c r="P3" s="41" t="inlineStr">
        <is>
          <t>Production</t>
        </is>
      </c>
    </row>
    <row r="4" ht="58" customHeight="1">
      <c r="A4" s="53" t="inlineStr">
        <is>
          <t>MM-002</t>
        </is>
      </c>
      <c r="B4" s="44" t="inlineStr">
        <is>
          <t>P2 — Haute</t>
        </is>
      </c>
      <c r="C4" s="43" t="inlineStr">
        <is>
          <t>Exécution campagne — Wave</t>
        </is>
      </c>
      <c r="D4" s="43" t="inlineStr"/>
      <c r="E4" s="43" t="inlineStr">
        <is>
          <t>Campagne créée, API Wave configurée</t>
        </is>
      </c>
      <c r="F4" s="43" t="inlineStr">
        <is>
          <t>1. Campagne → Exécuter
2. Confirmer</t>
        </is>
      </c>
      <c r="G4" s="43" t="inlineStr">
        <is>
          <t>Virements Wave initiés, statuts = pending</t>
        </is>
      </c>
      <c r="H4" s="43" t="inlineStr"/>
      <c r="I4" s="42" t="inlineStr">
        <is>
          <t>⬜ Non exécuté</t>
        </is>
      </c>
      <c r="J4" s="43" t="inlineStr"/>
      <c r="K4" s="43" t="inlineStr"/>
      <c r="L4" s="43" t="inlineStr"/>
      <c r="M4" s="43" t="inlineStr"/>
      <c r="N4" s="43" t="inlineStr"/>
      <c r="O4" s="43" t="inlineStr">
        <is>
          <t>Sprint 1</t>
        </is>
      </c>
      <c r="P4" s="43" t="inlineStr">
        <is>
          <t>Production</t>
        </is>
      </c>
    </row>
    <row r="5" ht="58" customHeight="1">
      <c r="A5" s="53" t="inlineStr">
        <is>
          <t>MM-003</t>
        </is>
      </c>
      <c r="B5" s="44" t="inlineStr">
        <is>
          <t>P2 — Haute</t>
        </is>
      </c>
      <c r="C5" s="41" t="inlineStr">
        <is>
          <t>Exécution campagne — MTN MoMo</t>
        </is>
      </c>
      <c r="D5" s="41" t="inlineStr"/>
      <c r="E5" s="41" t="inlineStr"/>
      <c r="F5" s="41" t="inlineStr">
        <is>
          <t>1. Filtrer employés MTN
2. Exécuter</t>
        </is>
      </c>
      <c r="G5" s="41" t="inlineStr">
        <is>
          <t>Virements MTN initiés</t>
        </is>
      </c>
      <c r="H5" s="41" t="inlineStr"/>
      <c r="I5" s="42" t="inlineStr">
        <is>
          <t>⬜ Non exécuté</t>
        </is>
      </c>
      <c r="J5" s="41" t="inlineStr"/>
      <c r="K5" s="41" t="inlineStr"/>
      <c r="L5" s="41" t="inlineStr"/>
      <c r="M5" s="41" t="inlineStr"/>
      <c r="N5" s="41" t="inlineStr"/>
      <c r="O5" s="41" t="inlineStr">
        <is>
          <t>Sprint 1</t>
        </is>
      </c>
      <c r="P5" s="41" t="inlineStr">
        <is>
          <t>Production</t>
        </is>
      </c>
    </row>
    <row r="6" ht="58" customHeight="1">
      <c r="A6" s="53" t="inlineStr">
        <is>
          <t>MM-004</t>
        </is>
      </c>
      <c r="B6" s="44" t="inlineStr">
        <is>
          <t>P2 — Haute</t>
        </is>
      </c>
      <c r="C6" s="43" t="inlineStr">
        <is>
          <t>Exécution campagne — Orange Money</t>
        </is>
      </c>
      <c r="D6" s="43" t="inlineStr"/>
      <c r="E6" s="43" t="inlineStr"/>
      <c r="F6" s="43" t="inlineStr">
        <is>
          <t>1. Filtrer employés Orange
2. Exécuter</t>
        </is>
      </c>
      <c r="G6" s="43" t="inlineStr">
        <is>
          <t>Virements Orange initiés</t>
        </is>
      </c>
      <c r="H6" s="43" t="inlineStr"/>
      <c r="I6" s="42" t="inlineStr">
        <is>
          <t>⬜ Non exécuté</t>
        </is>
      </c>
      <c r="J6" s="43" t="inlineStr"/>
      <c r="K6" s="43" t="inlineStr"/>
      <c r="L6" s="43" t="inlineStr"/>
      <c r="M6" s="43" t="inlineStr"/>
      <c r="N6" s="43" t="inlineStr"/>
      <c r="O6" s="43" t="inlineStr">
        <is>
          <t>Sprint 1</t>
        </is>
      </c>
      <c r="P6" s="43" t="inlineStr">
        <is>
          <t>Production</t>
        </is>
      </c>
    </row>
    <row r="7" ht="58" customHeight="1">
      <c r="A7" s="53" t="inlineStr">
        <is>
          <t>MM-005</t>
        </is>
      </c>
      <c r="B7" s="44" t="inlineStr">
        <is>
          <t>P2 — Haute</t>
        </is>
      </c>
      <c r="C7" s="41" t="inlineStr">
        <is>
          <t>Vérification numéro avant virement</t>
        </is>
      </c>
      <c r="D7" s="41" t="inlineStr">
        <is>
          <t>POST /payroll/mobile-money/verify-number</t>
        </is>
      </c>
      <c r="E7" s="41" t="inlineStr"/>
      <c r="F7" s="41" t="inlineStr">
        <is>
          <t>1. Saisir un numéro +225 07 XX XX XX
2. Vérifier</t>
        </is>
      </c>
      <c r="G7" s="41" t="inlineStr">
        <is>
          <t>Numéro actif confirmé ou erreur explicite</t>
        </is>
      </c>
      <c r="H7" s="41" t="inlineStr"/>
      <c r="I7" s="42" t="inlineStr">
        <is>
          <t>⬜ Non exécuté</t>
        </is>
      </c>
      <c r="J7" s="41" t="inlineStr"/>
      <c r="K7" s="41" t="inlineStr"/>
      <c r="L7" s="41" t="inlineStr"/>
      <c r="M7" s="41" t="inlineStr"/>
      <c r="N7" s="41" t="inlineStr"/>
      <c r="O7" s="41" t="inlineStr">
        <is>
          <t>Sprint 1</t>
        </is>
      </c>
      <c r="P7" s="41" t="inlineStr">
        <is>
          <t>Production</t>
        </is>
      </c>
    </row>
    <row r="8" ht="58" customHeight="1">
      <c r="A8" s="53" t="inlineStr">
        <is>
          <t>MM-006</t>
        </is>
      </c>
      <c r="B8" s="44" t="inlineStr">
        <is>
          <t>P2 — Haute</t>
        </is>
      </c>
      <c r="C8" s="43" t="inlineStr">
        <is>
          <t>Callback webhook → mise à jour statut</t>
        </is>
      </c>
      <c r="D8" s="43" t="inlineStr"/>
      <c r="E8" s="43" t="inlineStr">
        <is>
          <t>Virement initié</t>
        </is>
      </c>
      <c r="F8" s="43" t="inlineStr">
        <is>
          <t>1. Simuler callback success du provider
2. Vérifier statut</t>
        </is>
      </c>
      <c r="G8" s="43" t="inlineStr">
        <is>
          <t>Statut mis à jour de 'pending' à 'success'</t>
        </is>
      </c>
      <c r="H8" s="43" t="inlineStr"/>
      <c r="I8" s="42" t="inlineStr">
        <is>
          <t>⬜ Non exécuté</t>
        </is>
      </c>
      <c r="J8" s="43" t="inlineStr"/>
      <c r="K8" s="43" t="inlineStr"/>
      <c r="L8" s="43" t="inlineStr"/>
      <c r="M8" s="43" t="inlineStr"/>
      <c r="N8" s="43" t="inlineStr"/>
      <c r="O8" s="43" t="inlineStr">
        <is>
          <t>Sprint 1</t>
        </is>
      </c>
      <c r="P8" s="43" t="inlineStr">
        <is>
          <t>Production</t>
        </is>
      </c>
    </row>
    <row r="9" ht="58" customHeight="1">
      <c r="A9" s="53" t="inlineStr">
        <is>
          <t>MM-007</t>
        </is>
      </c>
      <c r="B9" s="44" t="inlineStr">
        <is>
          <t>P2 — Haute</t>
        </is>
      </c>
      <c r="C9" s="41" t="inlineStr">
        <is>
          <t>Virement failed → alerte</t>
        </is>
      </c>
      <c r="D9" s="41" t="inlineStr"/>
      <c r="E9" s="41" t="inlineStr"/>
      <c r="F9" s="41" t="inlineStr">
        <is>
          <t>1. Simuler callback failed</t>
        </is>
      </c>
      <c r="G9" s="41" t="inlineStr">
        <is>
          <t>Statut = failed, alerte admin, virement visible dans liste des échecs</t>
        </is>
      </c>
      <c r="H9" s="41" t="inlineStr"/>
      <c r="I9" s="42" t="inlineStr">
        <is>
          <t>⬜ Non exécuté</t>
        </is>
      </c>
      <c r="J9" s="41" t="inlineStr"/>
      <c r="K9" s="41" t="inlineStr"/>
      <c r="L9" s="41" t="inlineStr"/>
      <c r="M9" s="41" t="inlineStr"/>
      <c r="N9" s="41" t="inlineStr"/>
      <c r="O9" s="41" t="inlineStr">
        <is>
          <t>Sprint 1</t>
        </is>
      </c>
      <c r="P9" s="41" t="inlineStr">
        <is>
          <t>Production</t>
        </is>
      </c>
    </row>
    <row r="10" ht="58" customHeight="1">
      <c r="A10" s="53" t="inlineStr">
        <is>
          <t>MM-008</t>
        </is>
      </c>
      <c r="B10" s="40" t="inlineStr">
        <is>
          <t>P1 — Critique</t>
        </is>
      </c>
      <c r="C10" s="43" t="inlineStr">
        <is>
          <t>Bulletin marqué 'payé' après virement success</t>
        </is>
      </c>
      <c r="D10" s="43" t="inlineStr"/>
      <c r="E10" s="43" t="inlineStr"/>
      <c r="F10" s="43" t="inlineStr">
        <is>
          <t>1. Virement success
2. Ouvrir le bulletin correspondant</t>
        </is>
      </c>
      <c r="G10" s="43" t="inlineStr">
        <is>
          <t>payment_status = 'paid', référence TXN affichée sur le bulletin</t>
        </is>
      </c>
      <c r="H10" s="43" t="inlineStr"/>
      <c r="I10" s="42" t="inlineStr">
        <is>
          <t>⬜ Non exécuté</t>
        </is>
      </c>
      <c r="J10" s="43" t="inlineStr"/>
      <c r="K10" s="43" t="inlineStr"/>
      <c r="L10" s="43" t="inlineStr"/>
      <c r="M10" s="43" t="inlineStr"/>
      <c r="N10" s="43" t="inlineStr"/>
      <c r="O10" s="43" t="inlineStr">
        <is>
          <t>Sprint 1</t>
        </is>
      </c>
      <c r="P10" s="43" t="inlineStr">
        <is>
          <t>Production</t>
        </is>
      </c>
    </row>
    <row r="11" ht="58" customHeight="1">
      <c r="A11" s="53" t="inlineStr">
        <is>
          <t>MM-009</t>
        </is>
      </c>
      <c r="B11" s="40" t="inlineStr">
        <is>
          <t>P1 — Critique</t>
        </is>
      </c>
      <c r="C11" s="41" t="inlineStr">
        <is>
          <t>Validation format téléphone CI</t>
        </is>
      </c>
      <c r="D11" s="41" t="inlineStr"/>
      <c r="E11" s="41" t="inlineStr"/>
      <c r="F11" s="41" t="inlineStr">
        <is>
          <t>1. Saisir +225 07 12 34 56 78 (Wave valide)
2. Saisir +33 6 XX (invalide)</t>
        </is>
      </c>
      <c r="G11" s="41" t="inlineStr">
        <is>
          <t>Format +225 07/05 + 8 chiffres accepté, autres rejetés avec erreur claire</t>
        </is>
      </c>
      <c r="H11" s="41" t="inlineStr"/>
      <c r="I11" s="42" t="inlineStr">
        <is>
          <t>⬜ Non exécuté</t>
        </is>
      </c>
      <c r="J11" s="41" t="inlineStr"/>
      <c r="K11" s="41" t="inlineStr"/>
      <c r="L11" s="41" t="inlineStr"/>
      <c r="M11" s="41" t="inlineStr"/>
      <c r="N11" s="41" t="inlineStr"/>
      <c r="O11" s="41" t="inlineStr">
        <is>
          <t>Sprint 1</t>
        </is>
      </c>
      <c r="P11" s="41" t="inlineStr">
        <is>
          <t>Production</t>
        </is>
      </c>
    </row>
  </sheetData>
  <mergeCells count="1">
    <mergeCell ref="A1:P1"/>
  </mergeCells>
  <conditionalFormatting sqref="A3:P11">
    <cfRule type="expression" priority="1" dxfId="0">
      <formula>$I3="✅ Passé"</formula>
    </cfRule>
    <cfRule type="expression" priority="2" dxfId="1">
      <formula>$I3="❌ Échoué"</formula>
    </cfRule>
    <cfRule type="expression" priority="3" dxfId="2">
      <formula>$I3="⚠️ Bloqué"</formula>
    </cfRule>
    <cfRule type="expression" priority="4" dxfId="3">
      <formula>$I3="▶️ En cours"</formula>
    </cfRule>
    <cfRule type="expression" priority="5" dxfId="4">
      <formula>$I3="⬜ Non exécuté"</formula>
    </cfRule>
  </conditionalFormatting>
  <dataValidations count="27">
    <dataValidation sqref="I3" showDropDown="0" showInputMessage="0" showErrorMessage="0" allowBlank="1" type="list">
      <formula1>"✅ Passé,❌ Échoué,⚠️ Bloqué,▶️ En cours,⬜ Non exécuté"</formula1>
    </dataValidation>
    <dataValidation sqref="B3" showDropDown="0" showInputMessage="0" showErrorMessage="0" allowBlank="1" type="list">
      <formula1>"P1 — Critique,P2 — Haute,P3 — Moyenne,P4 — Basse"</formula1>
    </dataValidation>
    <dataValidation sqref="P3" showDropDown="0" showInputMessage="0" showErrorMessage="0" allowBlank="1" type="list">
      <formula1>"Production,Preprod,Local"</formula1>
    </dataValidation>
    <dataValidation sqref="I4" showDropDown="0" showInputMessage="0" showErrorMessage="0" allowBlank="1" type="list">
      <formula1>"✅ Passé,❌ Échoué,⚠️ Bloqué,▶️ En cours,⬜ Non exécuté"</formula1>
    </dataValidation>
    <dataValidation sqref="B4" showDropDown="0" showInputMessage="0" showErrorMessage="0" allowBlank="1" type="list">
      <formula1>"P1 — Critique,P2 — Haute,P3 — Moyenne,P4 — Basse"</formula1>
    </dataValidation>
    <dataValidation sqref="P4" showDropDown="0" showInputMessage="0" showErrorMessage="0" allowBlank="1" type="list">
      <formula1>"Production,Preprod,Local"</formula1>
    </dataValidation>
    <dataValidation sqref="I5" showDropDown="0" showInputMessage="0" showErrorMessage="0" allowBlank="1" type="list">
      <formula1>"✅ Passé,❌ Échoué,⚠️ Bloqué,▶️ En cours,⬜ Non exécuté"</formula1>
    </dataValidation>
    <dataValidation sqref="B5" showDropDown="0" showInputMessage="0" showErrorMessage="0" allowBlank="1" type="list">
      <formula1>"P1 — Critique,P2 — Haute,P3 — Moyenne,P4 — Basse"</formula1>
    </dataValidation>
    <dataValidation sqref="P5" showDropDown="0" showInputMessage="0" showErrorMessage="0" allowBlank="1" type="list">
      <formula1>"Production,Preprod,Local"</formula1>
    </dataValidation>
    <dataValidation sqref="I6" showDropDown="0" showInputMessage="0" showErrorMessage="0" allowBlank="1" type="list">
      <formula1>"✅ Passé,❌ Échoué,⚠️ Bloqué,▶️ En cours,⬜ Non exécuté"</formula1>
    </dataValidation>
    <dataValidation sqref="B6" showDropDown="0" showInputMessage="0" showErrorMessage="0" allowBlank="1" type="list">
      <formula1>"P1 — Critique,P2 — Haute,P3 — Moyenne,P4 — Basse"</formula1>
    </dataValidation>
    <dataValidation sqref="P6" showDropDown="0" showInputMessage="0" showErrorMessage="0" allowBlank="1" type="list">
      <formula1>"Production,Preprod,Local"</formula1>
    </dataValidation>
    <dataValidation sqref="I7" showDropDown="0" showInputMessage="0" showErrorMessage="0" allowBlank="1" type="list">
      <formula1>"✅ Passé,❌ Échoué,⚠️ Bloqué,▶️ En cours,⬜ Non exécuté"</formula1>
    </dataValidation>
    <dataValidation sqref="B7" showDropDown="0" showInputMessage="0" showErrorMessage="0" allowBlank="1" type="list">
      <formula1>"P1 — Critique,P2 — Haute,P3 — Moyenne,P4 — Basse"</formula1>
    </dataValidation>
    <dataValidation sqref="P7" showDropDown="0" showInputMessage="0" showErrorMessage="0" allowBlank="1" type="list">
      <formula1>"Production,Preprod,Local"</formula1>
    </dataValidation>
    <dataValidation sqref="I8" showDropDown="0" showInputMessage="0" showErrorMessage="0" allowBlank="1" type="list">
      <formula1>"✅ Passé,❌ Échoué,⚠️ Bloqué,▶️ En cours,⬜ Non exécuté"</formula1>
    </dataValidation>
    <dataValidation sqref="B8" showDropDown="0" showInputMessage="0" showErrorMessage="0" allowBlank="1" type="list">
      <formula1>"P1 — Critique,P2 — Haute,P3 — Moyenne,P4 — Basse"</formula1>
    </dataValidation>
    <dataValidation sqref="P8" showDropDown="0" showInputMessage="0" showErrorMessage="0" allowBlank="1" type="list">
      <formula1>"Production,Preprod,Local"</formula1>
    </dataValidation>
    <dataValidation sqref="I9" showDropDown="0" showInputMessage="0" showErrorMessage="0" allowBlank="1" type="list">
      <formula1>"✅ Passé,❌ Échoué,⚠️ Bloqué,▶️ En cours,⬜ Non exécuté"</formula1>
    </dataValidation>
    <dataValidation sqref="B9" showDropDown="0" showInputMessage="0" showErrorMessage="0" allowBlank="1" type="list">
      <formula1>"P1 — Critique,P2 — Haute,P3 — Moyenne,P4 — Basse"</formula1>
    </dataValidation>
    <dataValidation sqref="P9" showDropDown="0" showInputMessage="0" showErrorMessage="0" allowBlank="1" type="list">
      <formula1>"Production,Preprod,Local"</formula1>
    </dataValidation>
    <dataValidation sqref="I10" showDropDown="0" showInputMessage="0" showErrorMessage="0" allowBlank="1" type="list">
      <formula1>"✅ Passé,❌ Échoué,⚠️ Bloqué,▶️ En cours,⬜ Non exécuté"</formula1>
    </dataValidation>
    <dataValidation sqref="B10" showDropDown="0" showInputMessage="0" showErrorMessage="0" allowBlank="1" type="list">
      <formula1>"P1 — Critique,P2 — Haute,P3 — Moyenne,P4 — Basse"</formula1>
    </dataValidation>
    <dataValidation sqref="P10" showDropDown="0" showInputMessage="0" showErrorMessage="0" allowBlank="1" type="list">
      <formula1>"Production,Preprod,Local"</formula1>
    </dataValidation>
    <dataValidation sqref="I11" showDropDown="0" showInputMessage="0" showErrorMessage="0" allowBlank="1" type="list">
      <formula1>"✅ Passé,❌ Échoué,⚠️ Bloqué,▶️ En cours,⬜ Non exécuté"</formula1>
    </dataValidation>
    <dataValidation sqref="B11" showDropDown="0" showInputMessage="0" showErrorMessage="0" allowBlank="1" type="list">
      <formula1>"P1 — Critique,P2 — Haute,P3 — Moyenne,P4 — Basse"</formula1>
    </dataValidation>
    <dataValidation sqref="P11" showDropDown="0" showInputMessage="0" showErrorMessage="0" allowBlank="1" type="list">
      <formula1>"Production,Preprod,Local"</formula1>
    </dataValidation>
  </dataValidation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P1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38" customWidth="1" min="3" max="3"/>
    <col width="32" customWidth="1" min="4" max="4"/>
    <col width="30" customWidth="1" min="5" max="5"/>
    <col width="40" customWidth="1" min="6" max="6"/>
    <col width="38" customWidth="1" min="7" max="7"/>
    <col width="38" customWidth="1" min="8" max="8"/>
    <col width="18" customWidth="1" min="9" max="9"/>
    <col width="16" customWidth="1" min="10" max="10"/>
    <col width="13" customWidth="1" min="11" max="11"/>
    <col width="12" customWidth="1" min="12" max="12"/>
    <col width="24" customWidth="1" min="13" max="13"/>
    <col width="36" customWidth="1" min="14" max="14"/>
    <col width="10" customWidth="1" min="15" max="15"/>
    <col width="12" customWidth="1" min="16" max="16"/>
  </cols>
  <sheetData>
    <row r="1" ht="26" customHeight="1">
      <c r="A1" s="50" t="inlineStr">
        <is>
          <t xml:space="preserve">  ASSISTANT IA (CLAUDE CI)  ·  10 scénarios</t>
        </is>
      </c>
    </row>
    <row r="2" ht="22" customHeight="1">
      <c r="A2" s="39" t="inlineStr">
        <is>
          <t>ID Test</t>
        </is>
      </c>
      <c r="B2" s="39" t="inlineStr">
        <is>
          <t>Priorité</t>
        </is>
      </c>
      <c r="C2" s="39" t="inlineStr">
        <is>
          <t>Titre du scénario</t>
        </is>
      </c>
      <c r="D2" s="39" t="inlineStr">
        <is>
          <t>Description / Contexte</t>
        </is>
      </c>
      <c r="E2" s="39" t="inlineStr">
        <is>
          <t>Prérequis / Données</t>
        </is>
      </c>
      <c r="F2" s="39" t="inlineStr">
        <is>
          <t>Étapes détaillées</t>
        </is>
      </c>
      <c r="G2" s="39" t="inlineStr">
        <is>
          <t>Résultat attendu</t>
        </is>
      </c>
      <c r="H2" s="39" t="inlineStr">
        <is>
          <t>Résultat obtenu</t>
        </is>
      </c>
      <c r="I2" s="39" t="inlineStr">
        <is>
          <t>Statut</t>
        </is>
      </c>
      <c r="J2" s="39" t="inlineStr">
        <is>
          <t>Testeur</t>
        </is>
      </c>
      <c r="K2" s="39" t="inlineStr">
        <is>
          <t>Date test</t>
        </is>
      </c>
      <c r="L2" s="39" t="inlineStr">
        <is>
          <t>Durée (min)</t>
        </is>
      </c>
      <c r="M2" s="39" t="inlineStr">
        <is>
          <t>Ticket / Requalification</t>
        </is>
      </c>
      <c r="N2" s="39" t="inlineStr">
        <is>
          <t>Commentaire / Amélioration</t>
        </is>
      </c>
      <c r="O2" s="39" t="inlineStr">
        <is>
          <t>Sprint</t>
        </is>
      </c>
      <c r="P2" s="39" t="inlineStr">
        <is>
          <t>Env.</t>
        </is>
      </c>
    </row>
    <row r="3" ht="58" customHeight="1">
      <c r="A3" s="51" t="inlineStr">
        <is>
          <t>AI-001</t>
        </is>
      </c>
      <c r="B3" s="40" t="inlineStr">
        <is>
          <t>P1 — Critique</t>
        </is>
      </c>
      <c r="C3" s="41" t="inlineStr">
        <is>
          <t>Chat IA — réponse en streaming SSE</t>
        </is>
      </c>
      <c r="D3" s="41" t="inlineStr"/>
      <c r="E3" s="41" t="inlineStr">
        <is>
          <t>ANTHROPIC_API_KEY configuré</t>
        </is>
      </c>
      <c r="F3" s="41" t="inlineStr">
        <is>
          <t>1. /ai/chat
2. Poser une question RH
3. Observer la réponse</t>
        </is>
      </c>
      <c r="G3" s="41" t="inlineStr">
        <is>
          <t>Réponse arrivant en streaming (SSE), affichée progressivement</t>
        </is>
      </c>
      <c r="H3" s="41" t="inlineStr"/>
      <c r="I3" s="42" t="inlineStr">
        <is>
          <t>⬜ Non exécuté</t>
        </is>
      </c>
      <c r="J3" s="41" t="inlineStr"/>
      <c r="K3" s="41" t="inlineStr"/>
      <c r="L3" s="41" t="inlineStr"/>
      <c r="M3" s="41" t="inlineStr"/>
      <c r="N3" s="41" t="inlineStr"/>
      <c r="O3" s="41" t="inlineStr">
        <is>
          <t>Sprint 1</t>
        </is>
      </c>
      <c r="P3" s="41" t="inlineStr">
        <is>
          <t>Production</t>
        </is>
      </c>
    </row>
    <row r="4" ht="58" customHeight="1">
      <c r="A4" s="51" t="inlineStr">
        <is>
          <t>AI-002</t>
        </is>
      </c>
      <c r="B4" s="40" t="inlineStr">
        <is>
          <t>P1 — Critique</t>
        </is>
      </c>
      <c r="C4" s="43" t="inlineStr">
        <is>
          <t>Réponse toujours en français</t>
        </is>
      </c>
      <c r="D4" s="43" t="inlineStr"/>
      <c r="E4" s="43" t="inlineStr"/>
      <c r="F4" s="43" t="inlineStr">
        <is>
          <t>1. Poser la question en français
2. (Optionnel) tenter en anglais</t>
        </is>
      </c>
      <c r="G4" s="43" t="inlineStr">
        <is>
          <t>Réponse 100% en français, références légales CI citées</t>
        </is>
      </c>
      <c r="H4" s="43" t="inlineStr"/>
      <c r="I4" s="42" t="inlineStr">
        <is>
          <t>⬜ Non exécuté</t>
        </is>
      </c>
      <c r="J4" s="43" t="inlineStr"/>
      <c r="K4" s="43" t="inlineStr"/>
      <c r="L4" s="43" t="inlineStr"/>
      <c r="M4" s="43" t="inlineStr"/>
      <c r="N4" s="43" t="inlineStr"/>
      <c r="O4" s="43" t="inlineStr">
        <is>
          <t>Sprint 1</t>
        </is>
      </c>
      <c r="P4" s="43" t="inlineStr">
        <is>
          <t>Production</t>
        </is>
      </c>
    </row>
    <row r="5" ht="58" customHeight="1">
      <c r="A5" s="51" t="inlineStr">
        <is>
          <t>AI-003</t>
        </is>
      </c>
      <c r="B5" s="44" t="inlineStr">
        <is>
          <t>P2 — Haute</t>
        </is>
      </c>
      <c r="C5" s="41" t="inlineStr">
        <is>
          <t>Question CNPS → calcul correct</t>
        </is>
      </c>
      <c r="D5" s="41" t="inlineStr"/>
      <c r="E5" s="41" t="inlineStr"/>
      <c r="F5" s="41" t="inlineStr">
        <is>
          <t>1. 'Quel est le taux CNPS retraite salarié ?'</t>
        </is>
      </c>
      <c r="G5" s="41" t="inlineStr">
        <is>
          <t>Réponse: 6.3% avec mention du plafond 1 647 315 FCFA</t>
        </is>
      </c>
      <c r="H5" s="41" t="inlineStr"/>
      <c r="I5" s="42" t="inlineStr">
        <is>
          <t>⬜ Non exécuté</t>
        </is>
      </c>
      <c r="J5" s="41" t="inlineStr"/>
      <c r="K5" s="41" t="inlineStr"/>
      <c r="L5" s="41" t="inlineStr"/>
      <c r="M5" s="41" t="inlineStr"/>
      <c r="N5" s="41" t="inlineStr"/>
      <c r="O5" s="41" t="inlineStr">
        <is>
          <t>Sprint 1</t>
        </is>
      </c>
      <c r="P5" s="41" t="inlineStr">
        <is>
          <t>Production</t>
        </is>
      </c>
    </row>
    <row r="6" ht="58" customHeight="1">
      <c r="A6" s="51" t="inlineStr">
        <is>
          <t>AI-004</t>
        </is>
      </c>
      <c r="B6" s="44" t="inlineStr">
        <is>
          <t>P2 — Haute</t>
        </is>
      </c>
      <c r="C6" s="43" t="inlineStr">
        <is>
          <t>Question congés CI</t>
        </is>
      </c>
      <c r="D6" s="43" t="inlineStr"/>
      <c r="E6" s="43" t="inlineStr"/>
      <c r="F6" s="43" t="inlineStr">
        <is>
          <t>1. 'Combien de jours de congés pour 8 mois ?'</t>
        </is>
      </c>
      <c r="G6" s="43" t="inlineStr">
        <is>
          <t>Réponse: 8 × 2.5 = 20 jours ouvrables (Code du Travail CI)</t>
        </is>
      </c>
      <c r="H6" s="43" t="inlineStr"/>
      <c r="I6" s="42" t="inlineStr">
        <is>
          <t>⬜ Non exécuté</t>
        </is>
      </c>
      <c r="J6" s="43" t="inlineStr"/>
      <c r="K6" s="43" t="inlineStr"/>
      <c r="L6" s="43" t="inlineStr"/>
      <c r="M6" s="43" t="inlineStr"/>
      <c r="N6" s="43" t="inlineStr"/>
      <c r="O6" s="43" t="inlineStr">
        <is>
          <t>Sprint 1</t>
        </is>
      </c>
      <c r="P6" s="43" t="inlineStr">
        <is>
          <t>Production</t>
        </is>
      </c>
    </row>
    <row r="7" ht="58" customHeight="1">
      <c r="A7" s="51" t="inlineStr">
        <is>
          <t>AI-005</t>
        </is>
      </c>
      <c r="B7" s="44" t="inlineStr">
        <is>
          <t>P2 — Haute</t>
        </is>
      </c>
      <c r="C7" s="41" t="inlineStr">
        <is>
          <t>Question taux AT par secteur</t>
        </is>
      </c>
      <c r="D7" s="41" t="inlineStr"/>
      <c r="E7" s="41" t="inlineStr"/>
      <c r="F7" s="41" t="inlineStr">
        <is>
          <t>1. 'Quel est le taux AT pour une entreprise BTP ?'</t>
        </is>
      </c>
      <c r="G7" s="41" t="inlineStr">
        <is>
          <t>Réponse: 3% (BTP/Transport) avec source réglementaire</t>
        </is>
      </c>
      <c r="H7" s="41" t="inlineStr"/>
      <c r="I7" s="42" t="inlineStr">
        <is>
          <t>⬜ Non exécuté</t>
        </is>
      </c>
      <c r="J7" s="41" t="inlineStr"/>
      <c r="K7" s="41" t="inlineStr"/>
      <c r="L7" s="41" t="inlineStr"/>
      <c r="M7" s="41" t="inlineStr"/>
      <c r="N7" s="41" t="inlineStr"/>
      <c r="O7" s="41" t="inlineStr">
        <is>
          <t>Sprint 1</t>
        </is>
      </c>
      <c r="P7" s="41" t="inlineStr">
        <is>
          <t>Production</t>
        </is>
      </c>
    </row>
    <row r="8" ht="58" customHeight="1">
      <c r="A8" s="51" t="inlineStr">
        <is>
          <t>AI-006</t>
        </is>
      </c>
      <c r="B8" s="45" t="inlineStr">
        <is>
          <t>P3 — Moyenne</t>
        </is>
      </c>
      <c r="C8" s="43" t="inlineStr">
        <is>
          <t>Génération CDI CI — OHADA</t>
        </is>
      </c>
      <c r="D8" s="43" t="inlineStr"/>
      <c r="E8" s="43" t="inlineStr"/>
      <c r="F8" s="43" t="inlineStr">
        <is>
          <t>1. IA → Générer contrat → CDI CI
2. Saisir infos employé</t>
        </is>
      </c>
      <c r="G8" s="43" t="inlineStr">
        <is>
          <t>PDF CDI CI avec clauses OHADA obligatoires, NNI, CNPS, période d'essai légale CI</t>
        </is>
      </c>
      <c r="H8" s="43" t="inlineStr"/>
      <c r="I8" s="42" t="inlineStr">
        <is>
          <t>⬜ Non exécuté</t>
        </is>
      </c>
      <c r="J8" s="43" t="inlineStr"/>
      <c r="K8" s="43" t="inlineStr"/>
      <c r="L8" s="43" t="inlineStr"/>
      <c r="M8" s="43" t="inlineStr"/>
      <c r="N8" s="43" t="inlineStr"/>
      <c r="O8" s="43" t="inlineStr">
        <is>
          <t>Sprint 1</t>
        </is>
      </c>
      <c r="P8" s="43" t="inlineStr">
        <is>
          <t>Production</t>
        </is>
      </c>
    </row>
    <row r="9" ht="58" customHeight="1">
      <c r="A9" s="51" t="inlineStr">
        <is>
          <t>AI-007</t>
        </is>
      </c>
      <c r="B9" s="45" t="inlineStr">
        <is>
          <t>P3 — Moyenne</t>
        </is>
      </c>
      <c r="C9" s="41" t="inlineStr">
        <is>
          <t>Génération certificat de travail</t>
        </is>
      </c>
      <c r="D9" s="41" t="inlineStr"/>
      <c r="E9" s="41" t="inlineStr"/>
      <c r="F9" s="41" t="inlineStr">
        <is>
          <t>1. IA → Générer document → Certificat de travail</t>
        </is>
      </c>
      <c r="G9" s="41" t="inlineStr">
        <is>
          <t>Document complet avec données employé, poste, dates, mentions légales CI</t>
        </is>
      </c>
      <c r="H9" s="41" t="inlineStr"/>
      <c r="I9" s="42" t="inlineStr">
        <is>
          <t>⬜ Non exécuté</t>
        </is>
      </c>
      <c r="J9" s="41" t="inlineStr"/>
      <c r="K9" s="41" t="inlineStr"/>
      <c r="L9" s="41" t="inlineStr"/>
      <c r="M9" s="41" t="inlineStr"/>
      <c r="N9" s="41" t="inlineStr"/>
      <c r="O9" s="41" t="inlineStr">
        <is>
          <t>Sprint 1</t>
        </is>
      </c>
      <c r="P9" s="41" t="inlineStr">
        <is>
          <t>Production</t>
        </is>
      </c>
    </row>
    <row r="10" ht="58" customHeight="1">
      <c r="A10" s="51" t="inlineStr">
        <is>
          <t>AI-008</t>
        </is>
      </c>
      <c r="B10" s="45" t="inlineStr">
        <is>
          <t>P3 — Moyenne</t>
        </is>
      </c>
      <c r="C10" s="43" t="inlineStr">
        <is>
          <t>Analyse rétention — score et facteurs</t>
        </is>
      </c>
      <c r="D10" s="43" t="inlineStr"/>
      <c r="E10" s="43" t="inlineStr"/>
      <c r="F10" s="43" t="inlineStr">
        <is>
          <t>1. /ai/retention → Analyser pour un employé</t>
        </is>
      </c>
      <c r="G10" s="43" t="inlineStr">
        <is>
          <t>{ score, risk: low|medium|high, factors[], recommendations[] } en français</t>
        </is>
      </c>
      <c r="H10" s="43" t="inlineStr"/>
      <c r="I10" s="42" t="inlineStr">
        <is>
          <t>⬜ Non exécuté</t>
        </is>
      </c>
      <c r="J10" s="43" t="inlineStr"/>
      <c r="K10" s="43" t="inlineStr"/>
      <c r="L10" s="43" t="inlineStr"/>
      <c r="M10" s="43" t="inlineStr"/>
      <c r="N10" s="43" t="inlineStr"/>
      <c r="O10" s="43" t="inlineStr">
        <is>
          <t>Sprint 1</t>
        </is>
      </c>
      <c r="P10" s="43" t="inlineStr">
        <is>
          <t>Production</t>
        </is>
      </c>
    </row>
    <row r="11" ht="58" customHeight="1">
      <c r="A11" s="51" t="inlineStr">
        <is>
          <t>AI-009</t>
        </is>
      </c>
      <c r="B11" s="44" t="inlineStr">
        <is>
          <t>P2 — Haute</t>
        </is>
      </c>
      <c r="C11" s="41" t="inlineStr">
        <is>
          <t>Employee — accès limité à l'IA</t>
        </is>
      </c>
      <c r="D11" s="41" t="inlineStr"/>
      <c r="E11" s="41" t="inlineStr">
        <is>
          <t>employe@sotra.ci connecté</t>
        </is>
      </c>
      <c r="F11" s="41" t="inlineStr">
        <is>
          <t>1. Accéder au chat IA
2. Poser des questions avancées</t>
        </is>
      </c>
      <c r="G11" s="41" t="inlineStr">
        <is>
          <t>Questions simples autorisées, génération de documents refusée (rôle limité)</t>
        </is>
      </c>
      <c r="H11" s="41" t="inlineStr"/>
      <c r="I11" s="42" t="inlineStr">
        <is>
          <t>⬜ Non exécuté</t>
        </is>
      </c>
      <c r="J11" s="41" t="inlineStr"/>
      <c r="K11" s="41" t="inlineStr"/>
      <c r="L11" s="41" t="inlineStr"/>
      <c r="M11" s="41" t="inlineStr"/>
      <c r="N11" s="41" t="inlineStr"/>
      <c r="O11" s="41" t="inlineStr">
        <is>
          <t>Sprint 1</t>
        </is>
      </c>
      <c r="P11" s="41" t="inlineStr">
        <is>
          <t>Production</t>
        </is>
      </c>
    </row>
    <row r="12" ht="58" customHeight="1">
      <c r="A12" s="51" t="inlineStr">
        <is>
          <t>AI-010</t>
        </is>
      </c>
      <c r="B12" s="44" t="inlineStr">
        <is>
          <t>P2 — Haute</t>
        </is>
      </c>
      <c r="C12" s="43" t="inlineStr">
        <is>
          <t>Contexte tenant injecté dans le prompt</t>
        </is>
      </c>
      <c r="D12" s="43" t="inlineStr"/>
      <c r="E12" s="43" t="inlineStr"/>
      <c r="F12" s="43" t="inlineStr">
        <is>
          <t>1. Demander 'Quel est mon secteur d'activité ?'</t>
        </is>
      </c>
      <c r="G12" s="43" t="inlineStr">
        <is>
          <t>IA répond avec le secteur du tenant connecté (ex: 'Transport pour SOTRA')</t>
        </is>
      </c>
      <c r="H12" s="43" t="inlineStr"/>
      <c r="I12" s="42" t="inlineStr">
        <is>
          <t>⬜ Non exécuté</t>
        </is>
      </c>
      <c r="J12" s="43" t="inlineStr"/>
      <c r="K12" s="43" t="inlineStr"/>
      <c r="L12" s="43" t="inlineStr"/>
      <c r="M12" s="43" t="inlineStr"/>
      <c r="N12" s="43" t="inlineStr"/>
      <c r="O12" s="43" t="inlineStr">
        <is>
          <t>Sprint 1</t>
        </is>
      </c>
      <c r="P12" s="43" t="inlineStr">
        <is>
          <t>Production</t>
        </is>
      </c>
    </row>
  </sheetData>
  <mergeCells count="1">
    <mergeCell ref="A1:P1"/>
  </mergeCells>
  <conditionalFormatting sqref="A3:P12">
    <cfRule type="expression" priority="1" dxfId="0">
      <formula>$I3="✅ Passé"</formula>
    </cfRule>
    <cfRule type="expression" priority="2" dxfId="1">
      <formula>$I3="❌ Échoué"</formula>
    </cfRule>
    <cfRule type="expression" priority="3" dxfId="2">
      <formula>$I3="⚠️ Bloqué"</formula>
    </cfRule>
    <cfRule type="expression" priority="4" dxfId="3">
      <formula>$I3="▶️ En cours"</formula>
    </cfRule>
    <cfRule type="expression" priority="5" dxfId="4">
      <formula>$I3="⬜ Non exécuté"</formula>
    </cfRule>
  </conditionalFormatting>
  <dataValidations count="30">
    <dataValidation sqref="I3" showDropDown="0" showInputMessage="0" showErrorMessage="0" allowBlank="1" type="list">
      <formula1>"✅ Passé,❌ Échoué,⚠️ Bloqué,▶️ En cours,⬜ Non exécuté"</formula1>
    </dataValidation>
    <dataValidation sqref="B3" showDropDown="0" showInputMessage="0" showErrorMessage="0" allowBlank="1" type="list">
      <formula1>"P1 — Critique,P2 — Haute,P3 — Moyenne,P4 — Basse"</formula1>
    </dataValidation>
    <dataValidation sqref="P3" showDropDown="0" showInputMessage="0" showErrorMessage="0" allowBlank="1" type="list">
      <formula1>"Production,Preprod,Local"</formula1>
    </dataValidation>
    <dataValidation sqref="I4" showDropDown="0" showInputMessage="0" showErrorMessage="0" allowBlank="1" type="list">
      <formula1>"✅ Passé,❌ Échoué,⚠️ Bloqué,▶️ En cours,⬜ Non exécuté"</formula1>
    </dataValidation>
    <dataValidation sqref="B4" showDropDown="0" showInputMessage="0" showErrorMessage="0" allowBlank="1" type="list">
      <formula1>"P1 — Critique,P2 — Haute,P3 — Moyenne,P4 — Basse"</formula1>
    </dataValidation>
    <dataValidation sqref="P4" showDropDown="0" showInputMessage="0" showErrorMessage="0" allowBlank="1" type="list">
      <formula1>"Production,Preprod,Local"</formula1>
    </dataValidation>
    <dataValidation sqref="I5" showDropDown="0" showInputMessage="0" showErrorMessage="0" allowBlank="1" type="list">
      <formula1>"✅ Passé,❌ Échoué,⚠️ Bloqué,▶️ En cours,⬜ Non exécuté"</formula1>
    </dataValidation>
    <dataValidation sqref="B5" showDropDown="0" showInputMessage="0" showErrorMessage="0" allowBlank="1" type="list">
      <formula1>"P1 — Critique,P2 — Haute,P3 — Moyenne,P4 — Basse"</formula1>
    </dataValidation>
    <dataValidation sqref="P5" showDropDown="0" showInputMessage="0" showErrorMessage="0" allowBlank="1" type="list">
      <formula1>"Production,Preprod,Local"</formula1>
    </dataValidation>
    <dataValidation sqref="I6" showDropDown="0" showInputMessage="0" showErrorMessage="0" allowBlank="1" type="list">
      <formula1>"✅ Passé,❌ Échoué,⚠️ Bloqué,▶️ En cours,⬜ Non exécuté"</formula1>
    </dataValidation>
    <dataValidation sqref="B6" showDropDown="0" showInputMessage="0" showErrorMessage="0" allowBlank="1" type="list">
      <formula1>"P1 — Critique,P2 — Haute,P3 — Moyenne,P4 — Basse"</formula1>
    </dataValidation>
    <dataValidation sqref="P6" showDropDown="0" showInputMessage="0" showErrorMessage="0" allowBlank="1" type="list">
      <formula1>"Production,Preprod,Local"</formula1>
    </dataValidation>
    <dataValidation sqref="I7" showDropDown="0" showInputMessage="0" showErrorMessage="0" allowBlank="1" type="list">
      <formula1>"✅ Passé,❌ Échoué,⚠️ Bloqué,▶️ En cours,⬜ Non exécuté"</formula1>
    </dataValidation>
    <dataValidation sqref="B7" showDropDown="0" showInputMessage="0" showErrorMessage="0" allowBlank="1" type="list">
      <formula1>"P1 — Critique,P2 — Haute,P3 — Moyenne,P4 — Basse"</formula1>
    </dataValidation>
    <dataValidation sqref="P7" showDropDown="0" showInputMessage="0" showErrorMessage="0" allowBlank="1" type="list">
      <formula1>"Production,Preprod,Local"</formula1>
    </dataValidation>
    <dataValidation sqref="I8" showDropDown="0" showInputMessage="0" showErrorMessage="0" allowBlank="1" type="list">
      <formula1>"✅ Passé,❌ Échoué,⚠️ Bloqué,▶️ En cours,⬜ Non exécuté"</formula1>
    </dataValidation>
    <dataValidation sqref="B8" showDropDown="0" showInputMessage="0" showErrorMessage="0" allowBlank="1" type="list">
      <formula1>"P1 — Critique,P2 — Haute,P3 — Moyenne,P4 — Basse"</formula1>
    </dataValidation>
    <dataValidation sqref="P8" showDropDown="0" showInputMessage="0" showErrorMessage="0" allowBlank="1" type="list">
      <formula1>"Production,Preprod,Local"</formula1>
    </dataValidation>
    <dataValidation sqref="I9" showDropDown="0" showInputMessage="0" showErrorMessage="0" allowBlank="1" type="list">
      <formula1>"✅ Passé,❌ Échoué,⚠️ Bloqué,▶️ En cours,⬜ Non exécuté"</formula1>
    </dataValidation>
    <dataValidation sqref="B9" showDropDown="0" showInputMessage="0" showErrorMessage="0" allowBlank="1" type="list">
      <formula1>"P1 — Critique,P2 — Haute,P3 — Moyenne,P4 — Basse"</formula1>
    </dataValidation>
    <dataValidation sqref="P9" showDropDown="0" showInputMessage="0" showErrorMessage="0" allowBlank="1" type="list">
      <formula1>"Production,Preprod,Local"</formula1>
    </dataValidation>
    <dataValidation sqref="I10" showDropDown="0" showInputMessage="0" showErrorMessage="0" allowBlank="1" type="list">
      <formula1>"✅ Passé,❌ Échoué,⚠️ Bloqué,▶️ En cours,⬜ Non exécuté"</formula1>
    </dataValidation>
    <dataValidation sqref="B10" showDropDown="0" showInputMessage="0" showErrorMessage="0" allowBlank="1" type="list">
      <formula1>"P1 — Critique,P2 — Haute,P3 — Moyenne,P4 — Basse"</formula1>
    </dataValidation>
    <dataValidation sqref="P10" showDropDown="0" showInputMessage="0" showErrorMessage="0" allowBlank="1" type="list">
      <formula1>"Production,Preprod,Local"</formula1>
    </dataValidation>
    <dataValidation sqref="I11" showDropDown="0" showInputMessage="0" showErrorMessage="0" allowBlank="1" type="list">
      <formula1>"✅ Passé,❌ Échoué,⚠️ Bloqué,▶️ En cours,⬜ Non exécuté"</formula1>
    </dataValidation>
    <dataValidation sqref="B11" showDropDown="0" showInputMessage="0" showErrorMessage="0" allowBlank="1" type="list">
      <formula1>"P1 — Critique,P2 — Haute,P3 — Moyenne,P4 — Basse"</formula1>
    </dataValidation>
    <dataValidation sqref="P11" showDropDown="0" showInputMessage="0" showErrorMessage="0" allowBlank="1" type="list">
      <formula1>"Production,Preprod,Local"</formula1>
    </dataValidation>
    <dataValidation sqref="I12" showDropDown="0" showInputMessage="0" showErrorMessage="0" allowBlank="1" type="list">
      <formula1>"✅ Passé,❌ Échoué,⚠️ Bloqué,▶️ En cours,⬜ Non exécuté"</formula1>
    </dataValidation>
    <dataValidation sqref="B12" showDropDown="0" showInputMessage="0" showErrorMessage="0" allowBlank="1" type="list">
      <formula1>"P1 — Critique,P2 — Haute,P3 — Moyenne,P4 — Basse"</formula1>
    </dataValidation>
    <dataValidation sqref="P12" showDropDown="0" showInputMessage="0" showErrorMessage="0" allowBlank="1" type="list">
      <formula1>"Production,Preprod,Local"</formula1>
    </dataValidation>
  </dataValidation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P1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38" customWidth="1" min="3" max="3"/>
    <col width="32" customWidth="1" min="4" max="4"/>
    <col width="30" customWidth="1" min="5" max="5"/>
    <col width="40" customWidth="1" min="6" max="6"/>
    <col width="38" customWidth="1" min="7" max="7"/>
    <col width="38" customWidth="1" min="8" max="8"/>
    <col width="18" customWidth="1" min="9" max="9"/>
    <col width="16" customWidth="1" min="10" max="10"/>
    <col width="13" customWidth="1" min="11" max="11"/>
    <col width="12" customWidth="1" min="12" max="12"/>
    <col width="24" customWidth="1" min="13" max="13"/>
    <col width="36" customWidth="1" min="14" max="14"/>
    <col width="10" customWidth="1" min="15" max="15"/>
    <col width="12" customWidth="1" min="16" max="16"/>
  </cols>
  <sheetData>
    <row r="1" ht="26" customHeight="1">
      <c r="A1" s="54" t="inlineStr">
        <is>
          <t xml:space="preserve">  REPORTING &amp; ANALYTICS  ·  8 scénarios</t>
        </is>
      </c>
    </row>
    <row r="2" ht="22" customHeight="1">
      <c r="A2" s="39" t="inlineStr">
        <is>
          <t>ID Test</t>
        </is>
      </c>
      <c r="B2" s="39" t="inlineStr">
        <is>
          <t>Priorité</t>
        </is>
      </c>
      <c r="C2" s="39" t="inlineStr">
        <is>
          <t>Titre du scénario</t>
        </is>
      </c>
      <c r="D2" s="39" t="inlineStr">
        <is>
          <t>Description / Contexte</t>
        </is>
      </c>
      <c r="E2" s="39" t="inlineStr">
        <is>
          <t>Prérequis / Données</t>
        </is>
      </c>
      <c r="F2" s="39" t="inlineStr">
        <is>
          <t>Étapes détaillées</t>
        </is>
      </c>
      <c r="G2" s="39" t="inlineStr">
        <is>
          <t>Résultat attendu</t>
        </is>
      </c>
      <c r="H2" s="39" t="inlineStr">
        <is>
          <t>Résultat obtenu</t>
        </is>
      </c>
      <c r="I2" s="39" t="inlineStr">
        <is>
          <t>Statut</t>
        </is>
      </c>
      <c r="J2" s="39" t="inlineStr">
        <is>
          <t>Testeur</t>
        </is>
      </c>
      <c r="K2" s="39" t="inlineStr">
        <is>
          <t>Date test</t>
        </is>
      </c>
      <c r="L2" s="39" t="inlineStr">
        <is>
          <t>Durée (min)</t>
        </is>
      </c>
      <c r="M2" s="39" t="inlineStr">
        <is>
          <t>Ticket / Requalification</t>
        </is>
      </c>
      <c r="N2" s="39" t="inlineStr">
        <is>
          <t>Commentaire / Amélioration</t>
        </is>
      </c>
      <c r="O2" s="39" t="inlineStr">
        <is>
          <t>Sprint</t>
        </is>
      </c>
      <c r="P2" s="39" t="inlineStr">
        <is>
          <t>Env.</t>
        </is>
      </c>
    </row>
    <row r="3" ht="58" customHeight="1">
      <c r="A3" s="55" t="inlineStr">
        <is>
          <t>REP-001</t>
        </is>
      </c>
      <c r="B3" s="40" t="inlineStr">
        <is>
          <t>P1 — Critique</t>
        </is>
      </c>
      <c r="C3" s="41" t="inlineStr">
        <is>
          <t>KPIs dashboard RH — valeurs correctes</t>
        </is>
      </c>
      <c r="D3" s="41" t="inlineStr">
        <is>
          <t>Effectifs, masse salariale FCFA, cotisations CNPS, postes ouverts</t>
        </is>
      </c>
      <c r="E3" s="41" t="inlineStr">
        <is>
          <t>Données seedées</t>
        </is>
      </c>
      <c r="F3" s="41" t="inlineStr">
        <is>
          <t>1. Connecter admin
2. Observer /dashboard</t>
        </is>
      </c>
      <c r="G3" s="41" t="inlineStr">
        <is>
          <t>Valeurs cohérentes avec la base de données (ex: 80 employés SOTRA)</t>
        </is>
      </c>
      <c r="H3" s="41" t="inlineStr"/>
      <c r="I3" s="42" t="inlineStr">
        <is>
          <t>⬜ Non exécuté</t>
        </is>
      </c>
      <c r="J3" s="41" t="inlineStr"/>
      <c r="K3" s="41" t="inlineStr"/>
      <c r="L3" s="41" t="inlineStr"/>
      <c r="M3" s="41" t="inlineStr"/>
      <c r="N3" s="41" t="inlineStr"/>
      <c r="O3" s="41" t="inlineStr">
        <is>
          <t>Sprint 1</t>
        </is>
      </c>
      <c r="P3" s="41" t="inlineStr">
        <is>
          <t>Production</t>
        </is>
      </c>
    </row>
    <row r="4" ht="58" customHeight="1">
      <c r="A4" s="55" t="inlineStr">
        <is>
          <t>REP-002</t>
        </is>
      </c>
      <c r="B4" s="40" t="inlineStr">
        <is>
          <t>P1 — Critique</t>
        </is>
      </c>
      <c r="C4" s="43" t="inlineStr">
        <is>
          <t>Graphique évolution effectifs 12 mois</t>
        </is>
      </c>
      <c r="D4" s="43" t="inlineStr">
        <is>
          <t>LineChart</t>
        </is>
      </c>
      <c r="E4" s="43" t="inlineStr"/>
      <c r="F4" s="43" t="inlineStr">
        <is>
          <t>1. Observer graphique dashboard</t>
        </is>
      </c>
      <c r="G4" s="43" t="inlineStr">
        <is>
          <t>Courbe affichée, points par mois, valeurs cohérentes</t>
        </is>
      </c>
      <c r="H4" s="43" t="inlineStr"/>
      <c r="I4" s="42" t="inlineStr">
        <is>
          <t>⬜ Non exécuté</t>
        </is>
      </c>
      <c r="J4" s="43" t="inlineStr"/>
      <c r="K4" s="43" t="inlineStr"/>
      <c r="L4" s="43" t="inlineStr"/>
      <c r="M4" s="43" t="inlineStr"/>
      <c r="N4" s="43" t="inlineStr"/>
      <c r="O4" s="43" t="inlineStr">
        <is>
          <t>Sprint 1</t>
        </is>
      </c>
      <c r="P4" s="43" t="inlineStr">
        <is>
          <t>Production</t>
        </is>
      </c>
    </row>
    <row r="5" ht="58" customHeight="1">
      <c r="A5" s="55" t="inlineStr">
        <is>
          <t>REP-003</t>
        </is>
      </c>
      <c r="B5" s="44" t="inlineStr">
        <is>
          <t>P2 — Haute</t>
        </is>
      </c>
      <c r="C5" s="41" t="inlineStr">
        <is>
          <t>Répartition départements — BarChart</t>
        </is>
      </c>
      <c r="D5" s="41" t="inlineStr"/>
      <c r="E5" s="41" t="inlineStr"/>
      <c r="F5" s="41" t="inlineStr">
        <is>
          <t>1. Observer BarChart dashboard</t>
        </is>
      </c>
      <c r="G5" s="41" t="inlineStr">
        <is>
          <t>Barres par département avec nombre d'employés, ordonné</t>
        </is>
      </c>
      <c r="H5" s="41" t="inlineStr"/>
      <c r="I5" s="42" t="inlineStr">
        <is>
          <t>⬜ Non exécuté</t>
        </is>
      </c>
      <c r="J5" s="41" t="inlineStr"/>
      <c r="K5" s="41" t="inlineStr"/>
      <c r="L5" s="41" t="inlineStr"/>
      <c r="M5" s="41" t="inlineStr"/>
      <c r="N5" s="41" t="inlineStr"/>
      <c r="O5" s="41" t="inlineStr">
        <is>
          <t>Sprint 1</t>
        </is>
      </c>
      <c r="P5" s="41" t="inlineStr">
        <is>
          <t>Production</t>
        </is>
      </c>
    </row>
    <row r="6" ht="58" customHeight="1">
      <c r="A6" s="55" t="inlineStr">
        <is>
          <t>REP-004</t>
        </is>
      </c>
      <c r="B6" s="44" t="inlineStr">
        <is>
          <t>P2 — Haute</t>
        </is>
      </c>
      <c r="C6" s="43" t="inlineStr">
        <is>
          <t>Cotisations CNPS mensuelles</t>
        </is>
      </c>
      <c r="D6" s="43" t="inlineStr">
        <is>
          <t>Total patronal + salarial du mois</t>
        </is>
      </c>
      <c r="E6" s="43" t="inlineStr"/>
      <c r="F6" s="43" t="inlineStr">
        <is>
          <t>1. KPI card CNPS
2. Vérifier la valeur du mois en cours</t>
        </is>
      </c>
      <c r="G6" s="43" t="inlineStr">
        <is>
          <t>Valeur = somme des cotisations des bulletins du mois sélectionné</t>
        </is>
      </c>
      <c r="H6" s="43" t="inlineStr"/>
      <c r="I6" s="42" t="inlineStr">
        <is>
          <t>⬜ Non exécuté</t>
        </is>
      </c>
      <c r="J6" s="43" t="inlineStr"/>
      <c r="K6" s="43" t="inlineStr"/>
      <c r="L6" s="43" t="inlineStr"/>
      <c r="M6" s="43" t="inlineStr"/>
      <c r="N6" s="43" t="inlineStr"/>
      <c r="O6" s="43" t="inlineStr">
        <is>
          <t>Sprint 1</t>
        </is>
      </c>
      <c r="P6" s="43" t="inlineStr">
        <is>
          <t>Production</t>
        </is>
      </c>
    </row>
    <row r="7" ht="58" customHeight="1">
      <c r="A7" s="55" t="inlineStr">
        <is>
          <t>REP-005</t>
        </is>
      </c>
      <c r="B7" s="44" t="inlineStr">
        <is>
          <t>P2 — Haute</t>
        </is>
      </c>
      <c r="C7" s="41" t="inlineStr">
        <is>
          <t>Taux absentéisme calculé</t>
        </is>
      </c>
      <c r="D7" s="41" t="inlineStr">
        <is>
          <t>% jours d'absence / jours ouvrables</t>
        </is>
      </c>
      <c r="E7" s="41" t="inlineStr"/>
      <c r="F7" s="41" t="inlineStr">
        <is>
          <t>1. KPI card absentéisme</t>
        </is>
      </c>
      <c r="G7" s="41" t="inlineStr">
        <is>
          <t>Taux affiché en %, calculé sur les absences approuvées</t>
        </is>
      </c>
      <c r="H7" s="41" t="inlineStr"/>
      <c r="I7" s="42" t="inlineStr">
        <is>
          <t>⬜ Non exécuté</t>
        </is>
      </c>
      <c r="J7" s="41" t="inlineStr"/>
      <c r="K7" s="41" t="inlineStr"/>
      <c r="L7" s="41" t="inlineStr"/>
      <c r="M7" s="41" t="inlineStr"/>
      <c r="N7" s="41" t="inlineStr"/>
      <c r="O7" s="41" t="inlineStr">
        <is>
          <t>Sprint 1</t>
        </is>
      </c>
      <c r="P7" s="41" t="inlineStr">
        <is>
          <t>Production</t>
        </is>
      </c>
    </row>
    <row r="8" ht="58" customHeight="1">
      <c r="A8" s="55" t="inlineStr">
        <is>
          <t>REP-006</t>
        </is>
      </c>
      <c r="B8" s="44" t="inlineStr">
        <is>
          <t>P2 — Haute</t>
        </is>
      </c>
      <c r="C8" s="43" t="inlineStr">
        <is>
          <t>Export rapport masse salariale</t>
        </is>
      </c>
      <c r="D8" s="43" t="inlineStr"/>
      <c r="E8" s="43" t="inlineStr"/>
      <c r="F8" s="43" t="inlineStr">
        <is>
          <t>1. Reporting → Masse salariale → Exporter
2. Choisir période</t>
        </is>
      </c>
      <c r="G8" s="43" t="inlineStr">
        <is>
          <t>Excel/CSV téléchargé avec employé, brut, net, cotisations FCFA</t>
        </is>
      </c>
      <c r="H8" s="43" t="inlineStr"/>
      <c r="I8" s="42" t="inlineStr">
        <is>
          <t>⬜ Non exécuté</t>
        </is>
      </c>
      <c r="J8" s="43" t="inlineStr"/>
      <c r="K8" s="43" t="inlineStr"/>
      <c r="L8" s="43" t="inlineStr"/>
      <c r="M8" s="43" t="inlineStr"/>
      <c r="N8" s="43" t="inlineStr"/>
      <c r="O8" s="43" t="inlineStr">
        <is>
          <t>Sprint 1</t>
        </is>
      </c>
      <c r="P8" s="43" t="inlineStr">
        <is>
          <t>Production</t>
        </is>
      </c>
    </row>
    <row r="9" ht="58" customHeight="1">
      <c r="A9" s="55" t="inlineStr">
        <is>
          <t>REP-007</t>
        </is>
      </c>
      <c r="B9" s="44" t="inlineStr">
        <is>
          <t>P2 — Haute</t>
        </is>
      </c>
      <c r="C9" s="41" t="inlineStr">
        <is>
          <t>Insight IA — alerte rétention</t>
        </is>
      </c>
      <c r="D9" s="41" t="inlineStr">
        <is>
          <t>3 alertes max sur le dashboard</t>
        </is>
      </c>
      <c r="E9" s="41" t="inlineStr">
        <is>
          <t>IA configurée</t>
        </is>
      </c>
      <c r="F9" s="41" t="inlineStr">
        <is>
          <t>1. Observer la section 'Insights IA' du dashboard</t>
        </is>
      </c>
      <c r="G9" s="41" t="inlineStr">
        <is>
          <t>Maximum 3 alertes avec risque de départ, absentéisme, essais expirants</t>
        </is>
      </c>
      <c r="H9" s="41" t="inlineStr"/>
      <c r="I9" s="42" t="inlineStr">
        <is>
          <t>⬜ Non exécuté</t>
        </is>
      </c>
      <c r="J9" s="41" t="inlineStr"/>
      <c r="K9" s="41" t="inlineStr"/>
      <c r="L9" s="41" t="inlineStr"/>
      <c r="M9" s="41" t="inlineStr"/>
      <c r="N9" s="41" t="inlineStr"/>
      <c r="O9" s="41" t="inlineStr">
        <is>
          <t>Sprint 1</t>
        </is>
      </c>
      <c r="P9" s="41" t="inlineStr">
        <is>
          <t>Production</t>
        </is>
      </c>
    </row>
    <row r="10" ht="58" customHeight="1">
      <c r="A10" s="55" t="inlineStr">
        <is>
          <t>REP-008</t>
        </is>
      </c>
      <c r="B10" s="45" t="inlineStr">
        <is>
          <t>P3 — Moyenne</t>
        </is>
      </c>
      <c r="C10" s="43" t="inlineStr">
        <is>
          <t>Alerte CNPS à déclarer sur dashboard</t>
        </is>
      </c>
      <c r="D10" s="43" t="inlineStr"/>
      <c r="E10" s="43" t="inlineStr">
        <is>
          <t>Après le 10 du mois</t>
        </is>
      </c>
      <c r="F10" s="43" t="inlineStr">
        <is>
          <t>1. Observer le panneau alertes</t>
        </is>
      </c>
      <c r="G10" s="43" t="inlineStr">
        <is>
          <t>Alerte 'Déclaration CNPS à soumettre avant le 15' visible</t>
        </is>
      </c>
      <c r="H10" s="43" t="inlineStr"/>
      <c r="I10" s="42" t="inlineStr">
        <is>
          <t>⬜ Non exécuté</t>
        </is>
      </c>
      <c r="J10" s="43" t="inlineStr"/>
      <c r="K10" s="43" t="inlineStr"/>
      <c r="L10" s="43" t="inlineStr"/>
      <c r="M10" s="43" t="inlineStr"/>
      <c r="N10" s="43" t="inlineStr"/>
      <c r="O10" s="43" t="inlineStr">
        <is>
          <t>Sprint 1</t>
        </is>
      </c>
      <c r="P10" s="43" t="inlineStr">
        <is>
          <t>Production</t>
        </is>
      </c>
    </row>
  </sheetData>
  <mergeCells count="1">
    <mergeCell ref="A1:P1"/>
  </mergeCells>
  <conditionalFormatting sqref="A3:P10">
    <cfRule type="expression" priority="1" dxfId="0">
      <formula>$I3="✅ Passé"</formula>
    </cfRule>
    <cfRule type="expression" priority="2" dxfId="1">
      <formula>$I3="❌ Échoué"</formula>
    </cfRule>
    <cfRule type="expression" priority="3" dxfId="2">
      <formula>$I3="⚠️ Bloqué"</formula>
    </cfRule>
    <cfRule type="expression" priority="4" dxfId="3">
      <formula>$I3="▶️ En cours"</formula>
    </cfRule>
    <cfRule type="expression" priority="5" dxfId="4">
      <formula>$I3="⬜ Non exécuté"</formula>
    </cfRule>
  </conditionalFormatting>
  <dataValidations count="24">
    <dataValidation sqref="I3" showDropDown="0" showInputMessage="0" showErrorMessage="0" allowBlank="1" type="list">
      <formula1>"✅ Passé,❌ Échoué,⚠️ Bloqué,▶️ En cours,⬜ Non exécuté"</formula1>
    </dataValidation>
    <dataValidation sqref="B3" showDropDown="0" showInputMessage="0" showErrorMessage="0" allowBlank="1" type="list">
      <formula1>"P1 — Critique,P2 — Haute,P3 — Moyenne,P4 — Basse"</formula1>
    </dataValidation>
    <dataValidation sqref="P3" showDropDown="0" showInputMessage="0" showErrorMessage="0" allowBlank="1" type="list">
      <formula1>"Production,Preprod,Local"</formula1>
    </dataValidation>
    <dataValidation sqref="I4" showDropDown="0" showInputMessage="0" showErrorMessage="0" allowBlank="1" type="list">
      <formula1>"✅ Passé,❌ Échoué,⚠️ Bloqué,▶️ En cours,⬜ Non exécuté"</formula1>
    </dataValidation>
    <dataValidation sqref="B4" showDropDown="0" showInputMessage="0" showErrorMessage="0" allowBlank="1" type="list">
      <formula1>"P1 — Critique,P2 — Haute,P3 — Moyenne,P4 — Basse"</formula1>
    </dataValidation>
    <dataValidation sqref="P4" showDropDown="0" showInputMessage="0" showErrorMessage="0" allowBlank="1" type="list">
      <formula1>"Production,Preprod,Local"</formula1>
    </dataValidation>
    <dataValidation sqref="I5" showDropDown="0" showInputMessage="0" showErrorMessage="0" allowBlank="1" type="list">
      <formula1>"✅ Passé,❌ Échoué,⚠️ Bloqué,▶️ En cours,⬜ Non exécuté"</formula1>
    </dataValidation>
    <dataValidation sqref="B5" showDropDown="0" showInputMessage="0" showErrorMessage="0" allowBlank="1" type="list">
      <formula1>"P1 — Critique,P2 — Haute,P3 — Moyenne,P4 — Basse"</formula1>
    </dataValidation>
    <dataValidation sqref="P5" showDropDown="0" showInputMessage="0" showErrorMessage="0" allowBlank="1" type="list">
      <formula1>"Production,Preprod,Local"</formula1>
    </dataValidation>
    <dataValidation sqref="I6" showDropDown="0" showInputMessage="0" showErrorMessage="0" allowBlank="1" type="list">
      <formula1>"✅ Passé,❌ Échoué,⚠️ Bloqué,▶️ En cours,⬜ Non exécuté"</formula1>
    </dataValidation>
    <dataValidation sqref="B6" showDropDown="0" showInputMessage="0" showErrorMessage="0" allowBlank="1" type="list">
      <formula1>"P1 — Critique,P2 — Haute,P3 — Moyenne,P4 — Basse"</formula1>
    </dataValidation>
    <dataValidation sqref="P6" showDropDown="0" showInputMessage="0" showErrorMessage="0" allowBlank="1" type="list">
      <formula1>"Production,Preprod,Local"</formula1>
    </dataValidation>
    <dataValidation sqref="I7" showDropDown="0" showInputMessage="0" showErrorMessage="0" allowBlank="1" type="list">
      <formula1>"✅ Passé,❌ Échoué,⚠️ Bloqué,▶️ En cours,⬜ Non exécuté"</formula1>
    </dataValidation>
    <dataValidation sqref="B7" showDropDown="0" showInputMessage="0" showErrorMessage="0" allowBlank="1" type="list">
      <formula1>"P1 — Critique,P2 — Haute,P3 — Moyenne,P4 — Basse"</formula1>
    </dataValidation>
    <dataValidation sqref="P7" showDropDown="0" showInputMessage="0" showErrorMessage="0" allowBlank="1" type="list">
      <formula1>"Production,Preprod,Local"</formula1>
    </dataValidation>
    <dataValidation sqref="I8" showDropDown="0" showInputMessage="0" showErrorMessage="0" allowBlank="1" type="list">
      <formula1>"✅ Passé,❌ Échoué,⚠️ Bloqué,▶️ En cours,⬜ Non exécuté"</formula1>
    </dataValidation>
    <dataValidation sqref="B8" showDropDown="0" showInputMessage="0" showErrorMessage="0" allowBlank="1" type="list">
      <formula1>"P1 — Critique,P2 — Haute,P3 — Moyenne,P4 — Basse"</formula1>
    </dataValidation>
    <dataValidation sqref="P8" showDropDown="0" showInputMessage="0" showErrorMessage="0" allowBlank="1" type="list">
      <formula1>"Production,Preprod,Local"</formula1>
    </dataValidation>
    <dataValidation sqref="I9" showDropDown="0" showInputMessage="0" showErrorMessage="0" allowBlank="1" type="list">
      <formula1>"✅ Passé,❌ Échoué,⚠️ Bloqué,▶️ En cours,⬜ Non exécuté"</formula1>
    </dataValidation>
    <dataValidation sqref="B9" showDropDown="0" showInputMessage="0" showErrorMessage="0" allowBlank="1" type="list">
      <formula1>"P1 — Critique,P2 — Haute,P3 — Moyenne,P4 — Basse"</formula1>
    </dataValidation>
    <dataValidation sqref="P9" showDropDown="0" showInputMessage="0" showErrorMessage="0" allowBlank="1" type="list">
      <formula1>"Production,Preprod,Local"</formula1>
    </dataValidation>
    <dataValidation sqref="I10" showDropDown="0" showInputMessage="0" showErrorMessage="0" allowBlank="1" type="list">
      <formula1>"✅ Passé,❌ Échoué,⚠️ Bloqué,▶️ En cours,⬜ Non exécuté"</formula1>
    </dataValidation>
    <dataValidation sqref="B10" showDropDown="0" showInputMessage="0" showErrorMessage="0" allowBlank="1" type="list">
      <formula1>"P1 — Critique,P2 — Haute,P3 — Moyenne,P4 — Basse"</formula1>
    </dataValidation>
    <dataValidation sqref="P10" showDropDown="0" showInputMessage="0" showErrorMessage="0" allowBlank="1" type="list">
      <formula1>"Production,Preprod,Local"</formula1>
    </dataValidation>
  </dataValidation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P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38" customWidth="1" min="3" max="3"/>
    <col width="32" customWidth="1" min="4" max="4"/>
    <col width="30" customWidth="1" min="5" max="5"/>
    <col width="40" customWidth="1" min="6" max="6"/>
    <col width="38" customWidth="1" min="7" max="7"/>
    <col width="38" customWidth="1" min="8" max="8"/>
    <col width="18" customWidth="1" min="9" max="9"/>
    <col width="16" customWidth="1" min="10" max="10"/>
    <col width="13" customWidth="1" min="11" max="11"/>
    <col width="12" customWidth="1" min="12" max="12"/>
    <col width="24" customWidth="1" min="13" max="13"/>
    <col width="36" customWidth="1" min="14" max="14"/>
    <col width="10" customWidth="1" min="15" max="15"/>
    <col width="12" customWidth="1" min="16" max="16"/>
  </cols>
  <sheetData>
    <row r="1" ht="26" customHeight="1">
      <c r="A1" s="64" t="inlineStr">
        <is>
          <t xml:space="preserve">  PARAMÈTRES TENANT  ·  6 scénarios</t>
        </is>
      </c>
    </row>
    <row r="2" ht="22" customHeight="1">
      <c r="A2" s="39" t="inlineStr">
        <is>
          <t>ID Test</t>
        </is>
      </c>
      <c r="B2" s="39" t="inlineStr">
        <is>
          <t>Priorité</t>
        </is>
      </c>
      <c r="C2" s="39" t="inlineStr">
        <is>
          <t>Titre du scénario</t>
        </is>
      </c>
      <c r="D2" s="39" t="inlineStr">
        <is>
          <t>Description / Contexte</t>
        </is>
      </c>
      <c r="E2" s="39" t="inlineStr">
        <is>
          <t>Prérequis / Données</t>
        </is>
      </c>
      <c r="F2" s="39" t="inlineStr">
        <is>
          <t>Étapes détaillées</t>
        </is>
      </c>
      <c r="G2" s="39" t="inlineStr">
        <is>
          <t>Résultat attendu</t>
        </is>
      </c>
      <c r="H2" s="39" t="inlineStr">
        <is>
          <t>Résultat obtenu</t>
        </is>
      </c>
      <c r="I2" s="39" t="inlineStr">
        <is>
          <t>Statut</t>
        </is>
      </c>
      <c r="J2" s="39" t="inlineStr">
        <is>
          <t>Testeur</t>
        </is>
      </c>
      <c r="K2" s="39" t="inlineStr">
        <is>
          <t>Date test</t>
        </is>
      </c>
      <c r="L2" s="39" t="inlineStr">
        <is>
          <t>Durée (min)</t>
        </is>
      </c>
      <c r="M2" s="39" t="inlineStr">
        <is>
          <t>Ticket / Requalification</t>
        </is>
      </c>
      <c r="N2" s="39" t="inlineStr">
        <is>
          <t>Commentaire / Amélioration</t>
        </is>
      </c>
      <c r="O2" s="39" t="inlineStr">
        <is>
          <t>Sprint</t>
        </is>
      </c>
      <c r="P2" s="39" t="inlineStr">
        <is>
          <t>Env.</t>
        </is>
      </c>
    </row>
    <row r="3" ht="58" customHeight="1">
      <c r="A3" s="5" t="inlineStr">
        <is>
          <t>SET-001</t>
        </is>
      </c>
      <c r="B3" s="44" t="inlineStr">
        <is>
          <t>P2 — Haute</t>
        </is>
      </c>
      <c r="C3" s="41" t="inlineStr">
        <is>
          <t>Modifier logo tenant</t>
        </is>
      </c>
      <c r="D3" s="41" t="inlineStr">
        <is>
          <t>Upload logo pour personnalisation</t>
        </is>
      </c>
      <c r="E3" s="41" t="inlineStr">
        <is>
          <t>Admin connecté</t>
        </is>
      </c>
      <c r="F3" s="41" t="inlineStr">
        <is>
          <t>1. Paramètres → Apparence → Upload logo
2. Choisir image PNG
3. Sauvegarder</t>
        </is>
      </c>
      <c r="G3" s="41" t="inlineStr">
        <is>
          <t>Logo affiché dans la sidebar et sur la page login</t>
        </is>
      </c>
      <c r="H3" s="41" t="inlineStr"/>
      <c r="I3" s="42" t="inlineStr">
        <is>
          <t>⬜ Non exécuté</t>
        </is>
      </c>
      <c r="J3" s="41" t="inlineStr"/>
      <c r="K3" s="41" t="inlineStr"/>
      <c r="L3" s="41" t="inlineStr"/>
      <c r="M3" s="41" t="inlineStr"/>
      <c r="N3" s="41" t="inlineStr"/>
      <c r="O3" s="41" t="inlineStr">
        <is>
          <t>Sprint 1</t>
        </is>
      </c>
      <c r="P3" s="41" t="inlineStr">
        <is>
          <t>Production</t>
        </is>
      </c>
    </row>
    <row r="4" ht="58" customHeight="1">
      <c r="A4" s="5" t="inlineStr">
        <is>
          <t>SET-002</t>
        </is>
      </c>
      <c r="B4" s="44" t="inlineStr">
        <is>
          <t>P2 — Haute</t>
        </is>
      </c>
      <c r="C4" s="43" t="inlineStr">
        <is>
          <t>Modifier couleur primaire/secondaire</t>
        </is>
      </c>
      <c r="D4" s="43" t="inlineStr"/>
      <c r="E4" s="43" t="inlineStr"/>
      <c r="F4" s="43" t="inlineStr">
        <is>
          <t>1. Paramètres → Couleur primaire → Changer
2. Sauvegarder
3. Rafraîchir</t>
        </is>
      </c>
      <c r="G4" s="43" t="inlineStr">
        <is>
          <t>Nouvelle couleur appliquée à toute l'interface</t>
        </is>
      </c>
      <c r="H4" s="43" t="inlineStr"/>
      <c r="I4" s="42" t="inlineStr">
        <is>
          <t>⬜ Non exécuté</t>
        </is>
      </c>
      <c r="J4" s="43" t="inlineStr"/>
      <c r="K4" s="43" t="inlineStr"/>
      <c r="L4" s="43" t="inlineStr"/>
      <c r="M4" s="43" t="inlineStr"/>
      <c r="N4" s="43" t="inlineStr"/>
      <c r="O4" s="43" t="inlineStr">
        <is>
          <t>Sprint 1</t>
        </is>
      </c>
      <c r="P4" s="43" t="inlineStr">
        <is>
          <t>Production</t>
        </is>
      </c>
    </row>
    <row r="5" ht="58" customHeight="1">
      <c r="A5" s="5" t="inlineStr">
        <is>
          <t>SET-003</t>
        </is>
      </c>
      <c r="B5" s="40" t="inlineStr">
        <is>
          <t>P1 — Critique</t>
        </is>
      </c>
      <c r="C5" s="41" t="inlineStr">
        <is>
          <t>Gestion utilisateurs tenant — liste</t>
        </is>
      </c>
      <c r="D5" s="41" t="inlineStr">
        <is>
          <t>Admin peut voir tous les users du tenant</t>
        </is>
      </c>
      <c r="E5" s="41" t="inlineStr"/>
      <c r="F5" s="41" t="inlineStr">
        <is>
          <t>1. Paramètres → Utilisateurs</t>
        </is>
      </c>
      <c r="G5" s="41" t="inlineStr">
        <is>
          <t>Liste avec email, rôle, statut, date création</t>
        </is>
      </c>
      <c r="H5" s="41" t="inlineStr"/>
      <c r="I5" s="42" t="inlineStr">
        <is>
          <t>⬜ Non exécuté</t>
        </is>
      </c>
      <c r="J5" s="41" t="inlineStr"/>
      <c r="K5" s="41" t="inlineStr"/>
      <c r="L5" s="41" t="inlineStr"/>
      <c r="M5" s="41" t="inlineStr"/>
      <c r="N5" s="41" t="inlineStr"/>
      <c r="O5" s="41" t="inlineStr">
        <is>
          <t>Sprint 1</t>
        </is>
      </c>
      <c r="P5" s="41" t="inlineStr">
        <is>
          <t>Production</t>
        </is>
      </c>
    </row>
    <row r="6" ht="58" customHeight="1">
      <c r="A6" s="5" t="inlineStr">
        <is>
          <t>SET-004</t>
        </is>
      </c>
      <c r="B6" s="44" t="inlineStr">
        <is>
          <t>P2 — Haute</t>
        </is>
      </c>
      <c r="C6" s="43" t="inlineStr">
        <is>
          <t>Invitation nouvel utilisateur</t>
        </is>
      </c>
      <c r="D6" s="43" t="inlineStr"/>
      <c r="E6" s="43" t="inlineStr"/>
      <c r="F6" s="43" t="inlineStr">
        <is>
          <t>1. + Inviter
2. Email, rôle (dropdown)
3. Envoyer</t>
        </is>
      </c>
      <c r="G6" s="43" t="inlineStr">
        <is>
          <t>Email d'invitation envoyé, token d'invitation créé</t>
        </is>
      </c>
      <c r="H6" s="43" t="inlineStr"/>
      <c r="I6" s="42" t="inlineStr">
        <is>
          <t>⬜ Non exécuté</t>
        </is>
      </c>
      <c r="J6" s="43" t="inlineStr"/>
      <c r="K6" s="43" t="inlineStr"/>
      <c r="L6" s="43" t="inlineStr"/>
      <c r="M6" s="43" t="inlineStr"/>
      <c r="N6" s="43" t="inlineStr"/>
      <c r="O6" s="43" t="inlineStr">
        <is>
          <t>Sprint 1</t>
        </is>
      </c>
      <c r="P6" s="43" t="inlineStr">
        <is>
          <t>Production</t>
        </is>
      </c>
    </row>
    <row r="7" ht="58" customHeight="1">
      <c r="A7" s="5" t="inlineStr">
        <is>
          <t>SET-005</t>
        </is>
      </c>
      <c r="B7" s="44" t="inlineStr">
        <is>
          <t>P2 — Haute</t>
        </is>
      </c>
      <c r="C7" s="41" t="inlineStr">
        <is>
          <t>Modification rôle utilisateur</t>
        </is>
      </c>
      <c r="D7" s="41" t="inlineStr"/>
      <c r="E7" s="41" t="inlineStr"/>
      <c r="F7" s="41" t="inlineStr">
        <is>
          <t>1. Utilisateur → Modifier rôle → hr_officer</t>
        </is>
      </c>
      <c r="G7" s="41" t="inlineStr">
        <is>
          <t>Rôle mis à jour, permissions ajustées immédiatement</t>
        </is>
      </c>
      <c r="H7" s="41" t="inlineStr"/>
      <c r="I7" s="42" t="inlineStr">
        <is>
          <t>⬜ Non exécuté</t>
        </is>
      </c>
      <c r="J7" s="41" t="inlineStr"/>
      <c r="K7" s="41" t="inlineStr"/>
      <c r="L7" s="41" t="inlineStr"/>
      <c r="M7" s="41" t="inlineStr"/>
      <c r="N7" s="41" t="inlineStr"/>
      <c r="O7" s="41" t="inlineStr">
        <is>
          <t>Sprint 1</t>
        </is>
      </c>
      <c r="P7" s="41" t="inlineStr">
        <is>
          <t>Production</t>
        </is>
      </c>
    </row>
    <row r="8" ht="58" customHeight="1">
      <c r="A8" s="5" t="inlineStr">
        <is>
          <t>SET-006</t>
        </is>
      </c>
      <c r="B8" s="44" t="inlineStr">
        <is>
          <t>P2 — Haute</t>
        </is>
      </c>
      <c r="C8" s="43" t="inlineStr">
        <is>
          <t>Désactivation utilisateur tenant</t>
        </is>
      </c>
      <c r="D8" s="43" t="inlineStr"/>
      <c r="E8" s="43" t="inlineStr"/>
      <c r="F8" s="43" t="inlineStr">
        <is>
          <t>1. Utilisateur → Désactiver</t>
        </is>
      </c>
      <c r="G8" s="43" t="inlineStr">
        <is>
          <t>is_active = false, cet user ne peut plus se connecter</t>
        </is>
      </c>
      <c r="H8" s="43" t="inlineStr"/>
      <c r="I8" s="42" t="inlineStr">
        <is>
          <t>⬜ Non exécuté</t>
        </is>
      </c>
      <c r="J8" s="43" t="inlineStr"/>
      <c r="K8" s="43" t="inlineStr"/>
      <c r="L8" s="43" t="inlineStr"/>
      <c r="M8" s="43" t="inlineStr"/>
      <c r="N8" s="43" t="inlineStr"/>
      <c r="O8" s="43" t="inlineStr">
        <is>
          <t>Sprint 1</t>
        </is>
      </c>
      <c r="P8" s="43" t="inlineStr">
        <is>
          <t>Production</t>
        </is>
      </c>
    </row>
  </sheetData>
  <mergeCells count="1">
    <mergeCell ref="A1:P1"/>
  </mergeCells>
  <conditionalFormatting sqref="A3:P8">
    <cfRule type="expression" priority="1" dxfId="0">
      <formula>$I3="✅ Passé"</formula>
    </cfRule>
    <cfRule type="expression" priority="2" dxfId="1">
      <formula>$I3="❌ Échoué"</formula>
    </cfRule>
    <cfRule type="expression" priority="3" dxfId="2">
      <formula>$I3="⚠️ Bloqué"</formula>
    </cfRule>
    <cfRule type="expression" priority="4" dxfId="3">
      <formula>$I3="▶️ En cours"</formula>
    </cfRule>
    <cfRule type="expression" priority="5" dxfId="4">
      <formula>$I3="⬜ Non exécuté"</formula>
    </cfRule>
  </conditionalFormatting>
  <dataValidations count="18">
    <dataValidation sqref="I3" showDropDown="0" showInputMessage="0" showErrorMessage="0" allowBlank="1" type="list">
      <formula1>"✅ Passé,❌ Échoué,⚠️ Bloqué,▶️ En cours,⬜ Non exécuté"</formula1>
    </dataValidation>
    <dataValidation sqref="B3" showDropDown="0" showInputMessage="0" showErrorMessage="0" allowBlank="1" type="list">
      <formula1>"P1 — Critique,P2 — Haute,P3 — Moyenne,P4 — Basse"</formula1>
    </dataValidation>
    <dataValidation sqref="P3" showDropDown="0" showInputMessage="0" showErrorMessage="0" allowBlank="1" type="list">
      <formula1>"Production,Preprod,Local"</formula1>
    </dataValidation>
    <dataValidation sqref="I4" showDropDown="0" showInputMessage="0" showErrorMessage="0" allowBlank="1" type="list">
      <formula1>"✅ Passé,❌ Échoué,⚠️ Bloqué,▶️ En cours,⬜ Non exécuté"</formula1>
    </dataValidation>
    <dataValidation sqref="B4" showDropDown="0" showInputMessage="0" showErrorMessage="0" allowBlank="1" type="list">
      <formula1>"P1 — Critique,P2 — Haute,P3 — Moyenne,P4 — Basse"</formula1>
    </dataValidation>
    <dataValidation sqref="P4" showDropDown="0" showInputMessage="0" showErrorMessage="0" allowBlank="1" type="list">
      <formula1>"Production,Preprod,Local"</formula1>
    </dataValidation>
    <dataValidation sqref="I5" showDropDown="0" showInputMessage="0" showErrorMessage="0" allowBlank="1" type="list">
      <formula1>"✅ Passé,❌ Échoué,⚠️ Bloqué,▶️ En cours,⬜ Non exécuté"</formula1>
    </dataValidation>
    <dataValidation sqref="B5" showDropDown="0" showInputMessage="0" showErrorMessage="0" allowBlank="1" type="list">
      <formula1>"P1 — Critique,P2 — Haute,P3 — Moyenne,P4 — Basse"</formula1>
    </dataValidation>
    <dataValidation sqref="P5" showDropDown="0" showInputMessage="0" showErrorMessage="0" allowBlank="1" type="list">
      <formula1>"Production,Preprod,Local"</formula1>
    </dataValidation>
    <dataValidation sqref="I6" showDropDown="0" showInputMessage="0" showErrorMessage="0" allowBlank="1" type="list">
      <formula1>"✅ Passé,❌ Échoué,⚠️ Bloqué,▶️ En cours,⬜ Non exécuté"</formula1>
    </dataValidation>
    <dataValidation sqref="B6" showDropDown="0" showInputMessage="0" showErrorMessage="0" allowBlank="1" type="list">
      <formula1>"P1 — Critique,P2 — Haute,P3 — Moyenne,P4 — Basse"</formula1>
    </dataValidation>
    <dataValidation sqref="P6" showDropDown="0" showInputMessage="0" showErrorMessage="0" allowBlank="1" type="list">
      <formula1>"Production,Preprod,Local"</formula1>
    </dataValidation>
    <dataValidation sqref="I7" showDropDown="0" showInputMessage="0" showErrorMessage="0" allowBlank="1" type="list">
      <formula1>"✅ Passé,❌ Échoué,⚠️ Bloqué,▶️ En cours,⬜ Non exécuté"</formula1>
    </dataValidation>
    <dataValidation sqref="B7" showDropDown="0" showInputMessage="0" showErrorMessage="0" allowBlank="1" type="list">
      <formula1>"P1 — Critique,P2 — Haute,P3 — Moyenne,P4 — Basse"</formula1>
    </dataValidation>
    <dataValidation sqref="P7" showDropDown="0" showInputMessage="0" showErrorMessage="0" allowBlank="1" type="list">
      <formula1>"Production,Preprod,Local"</formula1>
    </dataValidation>
    <dataValidation sqref="I8" showDropDown="0" showInputMessage="0" showErrorMessage="0" allowBlank="1" type="list">
      <formula1>"✅ Passé,❌ Échoué,⚠️ Bloqué,▶️ En cours,⬜ Non exécuté"</formula1>
    </dataValidation>
    <dataValidation sqref="B8" showDropDown="0" showInputMessage="0" showErrorMessage="0" allowBlank="1" type="list">
      <formula1>"P1 — Critique,P2 — Haute,P3 — Moyenne,P4 — Basse"</formula1>
    </dataValidation>
    <dataValidation sqref="P8" showDropDown="0" showInputMessage="0" showErrorMessage="0" allowBlank="1" type="list">
      <formula1>"Production,Preprod,Local"</formula1>
    </dataValidation>
  </dataValidation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P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38" customWidth="1" min="3" max="3"/>
    <col width="32" customWidth="1" min="4" max="4"/>
    <col width="30" customWidth="1" min="5" max="5"/>
    <col width="40" customWidth="1" min="6" max="6"/>
    <col width="38" customWidth="1" min="7" max="7"/>
    <col width="38" customWidth="1" min="8" max="8"/>
    <col width="18" customWidth="1" min="9" max="9"/>
    <col width="16" customWidth="1" min="10" max="10"/>
    <col width="13" customWidth="1" min="11" max="11"/>
    <col width="12" customWidth="1" min="12" max="12"/>
    <col width="24" customWidth="1" min="13" max="13"/>
    <col width="36" customWidth="1" min="14" max="14"/>
    <col width="10" customWidth="1" min="15" max="15"/>
    <col width="12" customWidth="1" min="16" max="16"/>
  </cols>
  <sheetData>
    <row r="1" ht="26" customHeight="1">
      <c r="A1" s="65" t="inlineStr">
        <is>
          <t xml:space="preserve">  CONTRÔLE D'ACCÈS (RBAC)  ·  7 scénarios</t>
        </is>
      </c>
    </row>
    <row r="2" ht="22" customHeight="1">
      <c r="A2" s="39" t="inlineStr">
        <is>
          <t>ID Test</t>
        </is>
      </c>
      <c r="B2" s="39" t="inlineStr">
        <is>
          <t>Priorité</t>
        </is>
      </c>
      <c r="C2" s="39" t="inlineStr">
        <is>
          <t>Titre du scénario</t>
        </is>
      </c>
      <c r="D2" s="39" t="inlineStr">
        <is>
          <t>Description / Contexte</t>
        </is>
      </c>
      <c r="E2" s="39" t="inlineStr">
        <is>
          <t>Prérequis / Données</t>
        </is>
      </c>
      <c r="F2" s="39" t="inlineStr">
        <is>
          <t>Étapes détaillées</t>
        </is>
      </c>
      <c r="G2" s="39" t="inlineStr">
        <is>
          <t>Résultat attendu</t>
        </is>
      </c>
      <c r="H2" s="39" t="inlineStr">
        <is>
          <t>Résultat obtenu</t>
        </is>
      </c>
      <c r="I2" s="39" t="inlineStr">
        <is>
          <t>Statut</t>
        </is>
      </c>
      <c r="J2" s="39" t="inlineStr">
        <is>
          <t>Testeur</t>
        </is>
      </c>
      <c r="K2" s="39" t="inlineStr">
        <is>
          <t>Date test</t>
        </is>
      </c>
      <c r="L2" s="39" t="inlineStr">
        <is>
          <t>Durée (min)</t>
        </is>
      </c>
      <c r="M2" s="39" t="inlineStr">
        <is>
          <t>Ticket / Requalification</t>
        </is>
      </c>
      <c r="N2" s="39" t="inlineStr">
        <is>
          <t>Commentaire / Amélioration</t>
        </is>
      </c>
      <c r="O2" s="39" t="inlineStr">
        <is>
          <t>Sprint</t>
        </is>
      </c>
      <c r="P2" s="39" t="inlineStr">
        <is>
          <t>Env.</t>
        </is>
      </c>
    </row>
    <row r="3" ht="58" customHeight="1">
      <c r="A3" s="7" t="inlineStr">
        <is>
          <t>RBA-001</t>
        </is>
      </c>
      <c r="B3" s="40" t="inlineStr">
        <is>
          <t>P1 — Critique</t>
        </is>
      </c>
      <c r="C3" s="41" t="inlineStr">
        <is>
          <t>super_admin ne peut pas accéder /dashboard</t>
        </is>
      </c>
      <c r="D3" s="41" t="inlineStr">
        <is>
          <t>Redirection /platform/dashboard</t>
        </is>
      </c>
      <c r="E3" s="41" t="inlineStr">
        <is>
          <t>superadmin connecté</t>
        </is>
      </c>
      <c r="F3" s="41" t="inlineStr">
        <is>
          <t>1. Naviguer vers /dashboard</t>
        </is>
      </c>
      <c r="G3" s="41" t="inlineStr">
        <is>
          <t>Redirection automatique vers /platform/dashboard, pas d'erreur</t>
        </is>
      </c>
      <c r="H3" s="41" t="inlineStr"/>
      <c r="I3" s="42" t="inlineStr">
        <is>
          <t>⬜ Non exécuté</t>
        </is>
      </c>
      <c r="J3" s="41" t="inlineStr"/>
      <c r="K3" s="41" t="inlineStr"/>
      <c r="L3" s="41" t="inlineStr"/>
      <c r="M3" s="41" t="inlineStr"/>
      <c r="N3" s="41" t="inlineStr"/>
      <c r="O3" s="41" t="inlineStr">
        <is>
          <t>Sprint 1</t>
        </is>
      </c>
      <c r="P3" s="41" t="inlineStr">
        <is>
          <t>Production</t>
        </is>
      </c>
    </row>
    <row r="4" ht="58" customHeight="1">
      <c r="A4" s="7" t="inlineStr">
        <is>
          <t>RBA-002</t>
        </is>
      </c>
      <c r="B4" s="40" t="inlineStr">
        <is>
          <t>P1 — Critique</t>
        </is>
      </c>
      <c r="C4" s="43" t="inlineStr">
        <is>
          <t>admin d'un tenant ne peut pas accéder /platform/*</t>
        </is>
      </c>
      <c r="D4" s="43" t="inlineStr">
        <is>
          <t>403 ou redirection</t>
        </is>
      </c>
      <c r="E4" s="43" t="inlineStr">
        <is>
          <t>admin@sotra.ci connecté</t>
        </is>
      </c>
      <c r="F4" s="43" t="inlineStr">
        <is>
          <t>1. Tenter /platform/tenants</t>
        </is>
      </c>
      <c r="G4" s="43" t="inlineStr">
        <is>
          <t>403 Forbidden ou redirection /dashboard, jamais l'interface super admin</t>
        </is>
      </c>
      <c r="H4" s="43" t="inlineStr"/>
      <c r="I4" s="42" t="inlineStr">
        <is>
          <t>⬜ Non exécuté</t>
        </is>
      </c>
      <c r="J4" s="43" t="inlineStr"/>
      <c r="K4" s="43" t="inlineStr"/>
      <c r="L4" s="43" t="inlineStr"/>
      <c r="M4" s="43" t="inlineStr"/>
      <c r="N4" s="43" t="inlineStr"/>
      <c r="O4" s="43" t="inlineStr">
        <is>
          <t>Sprint 1</t>
        </is>
      </c>
      <c r="P4" s="43" t="inlineStr">
        <is>
          <t>Production</t>
        </is>
      </c>
    </row>
    <row r="5" ht="58" customHeight="1">
      <c r="A5" s="7" t="inlineStr">
        <is>
          <t>RBA-003</t>
        </is>
      </c>
      <c r="B5" s="40" t="inlineStr">
        <is>
          <t>P1 — Critique</t>
        </is>
      </c>
      <c r="C5" s="41" t="inlineStr">
        <is>
          <t>employee tente /employees → redirigé /mon-espace</t>
        </is>
      </c>
      <c r="D5" s="41" t="inlineStr">
        <is>
          <t>Guard RoleGuard actif</t>
        </is>
      </c>
      <c r="E5" s="41" t="inlineStr">
        <is>
          <t>employe@sotra.ci</t>
        </is>
      </c>
      <c r="F5" s="41" t="inlineStr">
        <is>
          <t>1. URL directe /employees</t>
        </is>
      </c>
      <c r="G5" s="41" t="inlineStr">
        <is>
          <t>Redirection automatique /mon-espace</t>
        </is>
      </c>
      <c r="H5" s="41" t="inlineStr"/>
      <c r="I5" s="42" t="inlineStr">
        <is>
          <t>⬜ Non exécuté</t>
        </is>
      </c>
      <c r="J5" s="41" t="inlineStr"/>
      <c r="K5" s="41" t="inlineStr"/>
      <c r="L5" s="41" t="inlineStr"/>
      <c r="M5" s="41" t="inlineStr"/>
      <c r="N5" s="41" t="inlineStr"/>
      <c r="O5" s="41" t="inlineStr">
        <is>
          <t>Sprint 1</t>
        </is>
      </c>
      <c r="P5" s="41" t="inlineStr">
        <is>
          <t>Production</t>
        </is>
      </c>
    </row>
    <row r="6" ht="58" customHeight="1">
      <c r="A6" s="7" t="inlineStr">
        <is>
          <t>RBA-004</t>
        </is>
      </c>
      <c r="B6" s="40" t="inlineStr">
        <is>
          <t>P1 — Critique</t>
        </is>
      </c>
      <c r="C6" s="43" t="inlineStr">
        <is>
          <t>hr_officer ne peut pas clôturer la paie</t>
        </is>
      </c>
      <c r="D6" s="43" t="inlineStr">
        <is>
          <t>Action non disponible dans l'UI</t>
        </is>
      </c>
      <c r="E6" s="43" t="inlineStr">
        <is>
          <t>hr_officer connecté</t>
        </is>
      </c>
      <c r="F6" s="43" t="inlineStr">
        <is>
          <t>1. Accéder /payroll
2. Chercher le bouton Clôturer</t>
        </is>
      </c>
      <c r="G6" s="43" t="inlineStr">
        <is>
          <t>Bouton absent ou désactivé, API retourne 403 si tenté directement</t>
        </is>
      </c>
      <c r="H6" s="43" t="inlineStr"/>
      <c r="I6" s="42" t="inlineStr">
        <is>
          <t>⬜ Non exécuté</t>
        </is>
      </c>
      <c r="J6" s="43" t="inlineStr"/>
      <c r="K6" s="43" t="inlineStr"/>
      <c r="L6" s="43" t="inlineStr"/>
      <c r="M6" s="43" t="inlineStr"/>
      <c r="N6" s="43" t="inlineStr"/>
      <c r="O6" s="43" t="inlineStr">
        <is>
          <t>Sprint 1</t>
        </is>
      </c>
      <c r="P6" s="43" t="inlineStr">
        <is>
          <t>Production</t>
        </is>
      </c>
    </row>
    <row r="7" ht="58" customHeight="1">
      <c r="A7" s="7" t="inlineStr">
        <is>
          <t>RBA-005</t>
        </is>
      </c>
      <c r="B7" s="40" t="inlineStr">
        <is>
          <t>P1 — Critique</t>
        </is>
      </c>
      <c r="C7" s="41" t="inlineStr">
        <is>
          <t>manager ne voit que son équipe</t>
        </is>
      </c>
      <c r="D7" s="41" t="inlineStr">
        <is>
          <t>Filtrage automatique</t>
        </is>
      </c>
      <c r="E7" s="41" t="inlineStr">
        <is>
          <t>manager@sotra.ci lié à Exploitation</t>
        </is>
      </c>
      <c r="F7" s="41" t="inlineStr">
        <is>
          <t>1. Accéder /employees depuis manager</t>
        </is>
      </c>
      <c r="G7" s="41" t="inlineStr">
        <is>
          <t>Seuls les 30 employés Exploitation listés (pas les 80 SOTRA)</t>
        </is>
      </c>
      <c r="H7" s="41" t="inlineStr"/>
      <c r="I7" s="42" t="inlineStr">
        <is>
          <t>⬜ Non exécuté</t>
        </is>
      </c>
      <c r="J7" s="41" t="inlineStr"/>
      <c r="K7" s="41" t="inlineStr"/>
      <c r="L7" s="41" t="inlineStr"/>
      <c r="M7" s="41" t="inlineStr"/>
      <c r="N7" s="41" t="inlineStr"/>
      <c r="O7" s="41" t="inlineStr">
        <is>
          <t>Sprint 1</t>
        </is>
      </c>
      <c r="P7" s="41" t="inlineStr">
        <is>
          <t>Production</t>
        </is>
      </c>
    </row>
    <row r="8" ht="58" customHeight="1">
      <c r="A8" s="7" t="inlineStr">
        <is>
          <t>RBA-006</t>
        </is>
      </c>
      <c r="B8" s="44" t="inlineStr">
        <is>
          <t>P2 — Haute</t>
        </is>
      </c>
      <c r="C8" s="43" t="inlineStr">
        <is>
          <t>readonly — aucune modification possible</t>
        </is>
      </c>
      <c r="D8" s="43" t="inlineStr">
        <is>
          <t>Tous les boutons d'édition absents</t>
        </is>
      </c>
      <c r="E8" s="43" t="inlineStr">
        <is>
          <t>Utilisateur rôle readonly</t>
        </is>
      </c>
      <c r="F8" s="43" t="inlineStr">
        <is>
          <t>1. Connecter
2. Tenter toute modification</t>
        </is>
      </c>
      <c r="G8" s="43" t="inlineStr">
        <is>
          <t>403 sur toutes les routes PUT/POST/DELETE, UI en lecture seule</t>
        </is>
      </c>
      <c r="H8" s="43" t="inlineStr"/>
      <c r="I8" s="42" t="inlineStr">
        <is>
          <t>⬜ Non exécuté</t>
        </is>
      </c>
      <c r="J8" s="43" t="inlineStr"/>
      <c r="K8" s="43" t="inlineStr"/>
      <c r="L8" s="43" t="inlineStr"/>
      <c r="M8" s="43" t="inlineStr"/>
      <c r="N8" s="43" t="inlineStr"/>
      <c r="O8" s="43" t="inlineStr">
        <is>
          <t>Sprint 1</t>
        </is>
      </c>
      <c r="P8" s="43" t="inlineStr">
        <is>
          <t>Production</t>
        </is>
      </c>
    </row>
    <row r="9" ht="58" customHeight="1">
      <c r="A9" s="7" t="inlineStr">
        <is>
          <t>RBA-007</t>
        </is>
      </c>
      <c r="B9" s="40" t="inlineStr">
        <is>
          <t>P1 — Critique</t>
        </is>
      </c>
      <c r="C9" s="41" t="inlineStr">
        <is>
          <t>Isolation multi-tenant — token cross-tenant</t>
        </is>
      </c>
      <c r="D9" s="41" t="inlineStr">
        <is>
          <t>Token SOTRA ne donne pas accès aux données Cabinet</t>
        </is>
      </c>
      <c r="E9" s="41" t="inlineStr">
        <is>
          <t>Token SOTRA JWT</t>
        </is>
      </c>
      <c r="F9" s="41" t="inlineStr">
        <is>
          <t>1. Utiliser le token SOTRA pour appeler /api/employees avec schéma cabinet</t>
        </is>
      </c>
      <c r="G9" s="41" t="inlineStr">
        <is>
          <t>403 ou données du bon schéma uniquement, jamais de fuite cross-tenant</t>
        </is>
      </c>
      <c r="H9" s="41" t="inlineStr"/>
      <c r="I9" s="42" t="inlineStr">
        <is>
          <t>⬜ Non exécuté</t>
        </is>
      </c>
      <c r="J9" s="41" t="inlineStr"/>
      <c r="K9" s="41" t="inlineStr"/>
      <c r="L9" s="41" t="inlineStr"/>
      <c r="M9" s="41" t="inlineStr"/>
      <c r="N9" s="41" t="inlineStr"/>
      <c r="O9" s="41" t="inlineStr">
        <is>
          <t>Sprint 1</t>
        </is>
      </c>
      <c r="P9" s="41" t="inlineStr">
        <is>
          <t>Production</t>
        </is>
      </c>
    </row>
  </sheetData>
  <mergeCells count="1">
    <mergeCell ref="A1:P1"/>
  </mergeCells>
  <conditionalFormatting sqref="A3:P9">
    <cfRule type="expression" priority="1" dxfId="0">
      <formula>$I3="✅ Passé"</formula>
    </cfRule>
    <cfRule type="expression" priority="2" dxfId="1">
      <formula>$I3="❌ Échoué"</formula>
    </cfRule>
    <cfRule type="expression" priority="3" dxfId="2">
      <formula>$I3="⚠️ Bloqué"</formula>
    </cfRule>
    <cfRule type="expression" priority="4" dxfId="3">
      <formula>$I3="▶️ En cours"</formula>
    </cfRule>
    <cfRule type="expression" priority="5" dxfId="4">
      <formula>$I3="⬜ Non exécuté"</formula>
    </cfRule>
  </conditionalFormatting>
  <dataValidations count="21">
    <dataValidation sqref="I3" showDropDown="0" showInputMessage="0" showErrorMessage="0" allowBlank="1" type="list">
      <formula1>"✅ Passé,❌ Échoué,⚠️ Bloqué,▶️ En cours,⬜ Non exécuté"</formula1>
    </dataValidation>
    <dataValidation sqref="B3" showDropDown="0" showInputMessage="0" showErrorMessage="0" allowBlank="1" type="list">
      <formula1>"P1 — Critique,P2 — Haute,P3 — Moyenne,P4 — Basse"</formula1>
    </dataValidation>
    <dataValidation sqref="P3" showDropDown="0" showInputMessage="0" showErrorMessage="0" allowBlank="1" type="list">
      <formula1>"Production,Preprod,Local"</formula1>
    </dataValidation>
    <dataValidation sqref="I4" showDropDown="0" showInputMessage="0" showErrorMessage="0" allowBlank="1" type="list">
      <formula1>"✅ Passé,❌ Échoué,⚠️ Bloqué,▶️ En cours,⬜ Non exécuté"</formula1>
    </dataValidation>
    <dataValidation sqref="B4" showDropDown="0" showInputMessage="0" showErrorMessage="0" allowBlank="1" type="list">
      <formula1>"P1 — Critique,P2 — Haute,P3 — Moyenne,P4 — Basse"</formula1>
    </dataValidation>
    <dataValidation sqref="P4" showDropDown="0" showInputMessage="0" showErrorMessage="0" allowBlank="1" type="list">
      <formula1>"Production,Preprod,Local"</formula1>
    </dataValidation>
    <dataValidation sqref="I5" showDropDown="0" showInputMessage="0" showErrorMessage="0" allowBlank="1" type="list">
      <formula1>"✅ Passé,❌ Échoué,⚠️ Bloqué,▶️ En cours,⬜ Non exécuté"</formula1>
    </dataValidation>
    <dataValidation sqref="B5" showDropDown="0" showInputMessage="0" showErrorMessage="0" allowBlank="1" type="list">
      <formula1>"P1 — Critique,P2 — Haute,P3 — Moyenne,P4 — Basse"</formula1>
    </dataValidation>
    <dataValidation sqref="P5" showDropDown="0" showInputMessage="0" showErrorMessage="0" allowBlank="1" type="list">
      <formula1>"Production,Preprod,Local"</formula1>
    </dataValidation>
    <dataValidation sqref="I6" showDropDown="0" showInputMessage="0" showErrorMessage="0" allowBlank="1" type="list">
      <formula1>"✅ Passé,❌ Échoué,⚠️ Bloqué,▶️ En cours,⬜ Non exécuté"</formula1>
    </dataValidation>
    <dataValidation sqref="B6" showDropDown="0" showInputMessage="0" showErrorMessage="0" allowBlank="1" type="list">
      <formula1>"P1 — Critique,P2 — Haute,P3 — Moyenne,P4 — Basse"</formula1>
    </dataValidation>
    <dataValidation sqref="P6" showDropDown="0" showInputMessage="0" showErrorMessage="0" allowBlank="1" type="list">
      <formula1>"Production,Preprod,Local"</formula1>
    </dataValidation>
    <dataValidation sqref="I7" showDropDown="0" showInputMessage="0" showErrorMessage="0" allowBlank="1" type="list">
      <formula1>"✅ Passé,❌ Échoué,⚠️ Bloqué,▶️ En cours,⬜ Non exécuté"</formula1>
    </dataValidation>
    <dataValidation sqref="B7" showDropDown="0" showInputMessage="0" showErrorMessage="0" allowBlank="1" type="list">
      <formula1>"P1 — Critique,P2 — Haute,P3 — Moyenne,P4 — Basse"</formula1>
    </dataValidation>
    <dataValidation sqref="P7" showDropDown="0" showInputMessage="0" showErrorMessage="0" allowBlank="1" type="list">
      <formula1>"Production,Preprod,Local"</formula1>
    </dataValidation>
    <dataValidation sqref="I8" showDropDown="0" showInputMessage="0" showErrorMessage="0" allowBlank="1" type="list">
      <formula1>"✅ Passé,❌ Échoué,⚠️ Bloqué,▶️ En cours,⬜ Non exécuté"</formula1>
    </dataValidation>
    <dataValidation sqref="B8" showDropDown="0" showInputMessage="0" showErrorMessage="0" allowBlank="1" type="list">
      <formula1>"P1 — Critique,P2 — Haute,P3 — Moyenne,P4 — Basse"</formula1>
    </dataValidation>
    <dataValidation sqref="P8" showDropDown="0" showInputMessage="0" showErrorMessage="0" allowBlank="1" type="list">
      <formula1>"Production,Preprod,Local"</formula1>
    </dataValidation>
    <dataValidation sqref="I9" showDropDown="0" showInputMessage="0" showErrorMessage="0" allowBlank="1" type="list">
      <formula1>"✅ Passé,❌ Échoué,⚠️ Bloqué,▶️ En cours,⬜ Non exécuté"</formula1>
    </dataValidation>
    <dataValidation sqref="B9" showDropDown="0" showInputMessage="0" showErrorMessage="0" allowBlank="1" type="list">
      <formula1>"P1 — Critique,P2 — Haute,P3 — Moyenne,P4 — Basse"</formula1>
    </dataValidation>
    <dataValidation sqref="P9" showDropDown="0" showInputMessage="0" showErrorMessage="0" allowBlank="1" type="list">
      <formula1>"Production,Preprod,Local"</formula1>
    </dataValidation>
  </dataValidation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P1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38" customWidth="1" min="3" max="3"/>
    <col width="32" customWidth="1" min="4" max="4"/>
    <col width="30" customWidth="1" min="5" max="5"/>
    <col width="40" customWidth="1" min="6" max="6"/>
    <col width="38" customWidth="1" min="7" max="7"/>
    <col width="38" customWidth="1" min="8" max="8"/>
    <col width="18" customWidth="1" min="9" max="9"/>
    <col width="16" customWidth="1" min="10" max="10"/>
    <col width="13" customWidth="1" min="11" max="11"/>
    <col width="12" customWidth="1" min="12" max="12"/>
    <col width="24" customWidth="1" min="13" max="13"/>
    <col width="36" customWidth="1" min="14" max="14"/>
    <col width="10" customWidth="1" min="15" max="15"/>
    <col width="12" customWidth="1" min="16" max="16"/>
  </cols>
  <sheetData>
    <row r="1" ht="26" customHeight="1">
      <c r="A1" s="48" t="inlineStr">
        <is>
          <t xml:space="preserve">  ESPACE EMPLOYEE (SELF-SERVICE)  ·  8 scénarios</t>
        </is>
      </c>
    </row>
    <row r="2" ht="22" customHeight="1">
      <c r="A2" s="39" t="inlineStr">
        <is>
          <t>ID Test</t>
        </is>
      </c>
      <c r="B2" s="39" t="inlineStr">
        <is>
          <t>Priorité</t>
        </is>
      </c>
      <c r="C2" s="39" t="inlineStr">
        <is>
          <t>Titre du scénario</t>
        </is>
      </c>
      <c r="D2" s="39" t="inlineStr">
        <is>
          <t>Description / Contexte</t>
        </is>
      </c>
      <c r="E2" s="39" t="inlineStr">
        <is>
          <t>Prérequis / Données</t>
        </is>
      </c>
      <c r="F2" s="39" t="inlineStr">
        <is>
          <t>Étapes détaillées</t>
        </is>
      </c>
      <c r="G2" s="39" t="inlineStr">
        <is>
          <t>Résultat attendu</t>
        </is>
      </c>
      <c r="H2" s="39" t="inlineStr">
        <is>
          <t>Résultat obtenu</t>
        </is>
      </c>
      <c r="I2" s="39" t="inlineStr">
        <is>
          <t>Statut</t>
        </is>
      </c>
      <c r="J2" s="39" t="inlineStr">
        <is>
          <t>Testeur</t>
        </is>
      </c>
      <c r="K2" s="39" t="inlineStr">
        <is>
          <t>Date test</t>
        </is>
      </c>
      <c r="L2" s="39" t="inlineStr">
        <is>
          <t>Durée (min)</t>
        </is>
      </c>
      <c r="M2" s="39" t="inlineStr">
        <is>
          <t>Ticket / Requalification</t>
        </is>
      </c>
      <c r="N2" s="39" t="inlineStr">
        <is>
          <t>Commentaire / Amélioration</t>
        </is>
      </c>
      <c r="O2" s="39" t="inlineStr">
        <is>
          <t>Sprint</t>
        </is>
      </c>
      <c r="P2" s="39" t="inlineStr">
        <is>
          <t>Env.</t>
        </is>
      </c>
    </row>
    <row r="3" ht="58" customHeight="1">
      <c r="A3" s="49" t="inlineStr">
        <is>
          <t>ESP-001</t>
        </is>
      </c>
      <c r="B3" s="40" t="inlineStr">
        <is>
          <t>P1 — Critique</t>
        </is>
      </c>
      <c r="C3" s="41" t="inlineStr">
        <is>
          <t>Dashboard /mon-espace — soldes congés affichés</t>
        </is>
      </c>
      <c r="D3" s="41" t="inlineStr">
        <is>
          <t>Barres de progression colorées</t>
        </is>
      </c>
      <c r="E3" s="41" t="inlineStr">
        <is>
          <t>employe@sotra.ci connecté, soldes seedés</t>
        </is>
      </c>
      <c r="F3" s="41" t="inlineStr">
        <is>
          <t>1. Connecter employe
2. Observer /mon-espace</t>
        </is>
      </c>
      <c r="G3" s="41" t="inlineStr">
        <is>
          <t>CP, Maladie affichés avec jours acquis/pris/restants, barres colorées</t>
        </is>
      </c>
      <c r="H3" s="41" t="inlineStr"/>
      <c r="I3" s="42" t="inlineStr">
        <is>
          <t>⬜ Non exécuté</t>
        </is>
      </c>
      <c r="J3" s="41" t="inlineStr"/>
      <c r="K3" s="41" t="inlineStr"/>
      <c r="L3" s="41" t="inlineStr"/>
      <c r="M3" s="41" t="inlineStr"/>
      <c r="N3" s="41" t="inlineStr"/>
      <c r="O3" s="41" t="inlineStr">
        <is>
          <t>Sprint 1</t>
        </is>
      </c>
      <c r="P3" s="41" t="inlineStr">
        <is>
          <t>Production</t>
        </is>
      </c>
    </row>
    <row r="4" ht="58" customHeight="1">
      <c r="A4" s="49" t="inlineStr">
        <is>
          <t>ESP-002</t>
        </is>
      </c>
      <c r="B4" s="40" t="inlineStr">
        <is>
          <t>P1 — Critique</t>
        </is>
      </c>
      <c r="C4" s="43" t="inlineStr">
        <is>
          <t>Badge 'Nouveau' bulletin — /mon-espace</t>
        </is>
      </c>
      <c r="D4" s="43" t="inlineStr"/>
      <c r="E4" s="43" t="inlineStr">
        <is>
          <t>Bulletin non consulté</t>
        </is>
      </c>
      <c r="F4" s="43" t="inlineStr">
        <is>
          <t>1. Observer /mon-espace après génération d'un nouveau bulletin</t>
        </is>
      </c>
      <c r="G4" s="43" t="inlineStr">
        <is>
          <t>Badge 'Nouveau' visible sur le bulletin le plus récent</t>
        </is>
      </c>
      <c r="H4" s="43" t="inlineStr"/>
      <c r="I4" s="42" t="inlineStr">
        <is>
          <t>⬜ Non exécuté</t>
        </is>
      </c>
      <c r="J4" s="43" t="inlineStr"/>
      <c r="K4" s="43" t="inlineStr"/>
      <c r="L4" s="43" t="inlineStr"/>
      <c r="M4" s="43" t="inlineStr"/>
      <c r="N4" s="43" t="inlineStr"/>
      <c r="O4" s="43" t="inlineStr">
        <is>
          <t>Sprint 1</t>
        </is>
      </c>
      <c r="P4" s="43" t="inlineStr">
        <is>
          <t>Production</t>
        </is>
      </c>
    </row>
    <row r="5" ht="58" customHeight="1">
      <c r="A5" s="49" t="inlineStr">
        <is>
          <t>ESP-003</t>
        </is>
      </c>
      <c r="B5" s="40" t="inlineStr">
        <is>
          <t>P1 — Critique</t>
        </is>
      </c>
      <c r="C5" s="41" t="inlineStr">
        <is>
          <t>Sidebar réduite — 5 items seulement</t>
        </is>
      </c>
      <c r="D5" s="41" t="inlineStr">
        <is>
          <t>Mon espace, Absences, Bulletins, Frais, Formation, Profil</t>
        </is>
      </c>
      <c r="E5" s="41" t="inlineStr">
        <is>
          <t>employe connecté</t>
        </is>
      </c>
      <c r="F5" s="41" t="inlineStr">
        <is>
          <t>1. Observer la sidebar</t>
        </is>
      </c>
      <c r="G5" s="41" t="inlineStr">
        <is>
          <t>Exactement 6 items, aucun lien vers /employees, /payroll global, /recruitment</t>
        </is>
      </c>
      <c r="H5" s="41" t="inlineStr"/>
      <c r="I5" s="42" t="inlineStr">
        <is>
          <t>⬜ Non exécuté</t>
        </is>
      </c>
      <c r="J5" s="41" t="inlineStr"/>
      <c r="K5" s="41" t="inlineStr"/>
      <c r="L5" s="41" t="inlineStr"/>
      <c r="M5" s="41" t="inlineStr"/>
      <c r="N5" s="41" t="inlineStr"/>
      <c r="O5" s="41" t="inlineStr">
        <is>
          <t>Sprint 1</t>
        </is>
      </c>
      <c r="P5" s="41" t="inlineStr">
        <is>
          <t>Production</t>
        </is>
      </c>
    </row>
    <row r="6" ht="58" customHeight="1">
      <c r="A6" s="49" t="inlineStr">
        <is>
          <t>ESP-004</t>
        </is>
      </c>
      <c r="B6" s="44" t="inlineStr">
        <is>
          <t>P2 — Haute</t>
        </is>
      </c>
      <c r="C6" s="43" t="inlineStr">
        <is>
          <t>Mon profil — modification téléphone</t>
        </is>
      </c>
      <c r="D6" s="43" t="inlineStr"/>
      <c r="E6" s="43" t="inlineStr"/>
      <c r="F6" s="43" t="inlineStr">
        <is>
          <t>1. /mon-espace/profil → Modifier téléphone
2. Sauvegarder</t>
        </is>
      </c>
      <c r="G6" s="43" t="inlineStr">
        <is>
          <t>Téléphone mis à jour, Mobile Money provider visible</t>
        </is>
      </c>
      <c r="H6" s="43" t="inlineStr"/>
      <c r="I6" s="42" t="inlineStr">
        <is>
          <t>⬜ Non exécuté</t>
        </is>
      </c>
      <c r="J6" s="43" t="inlineStr"/>
      <c r="K6" s="43" t="inlineStr"/>
      <c r="L6" s="43" t="inlineStr"/>
      <c r="M6" s="43" t="inlineStr"/>
      <c r="N6" s="43" t="inlineStr"/>
      <c r="O6" s="43" t="inlineStr">
        <is>
          <t>Sprint 1</t>
        </is>
      </c>
      <c r="P6" s="43" t="inlineStr">
        <is>
          <t>Production</t>
        </is>
      </c>
    </row>
    <row r="7" ht="58" customHeight="1">
      <c r="A7" s="49" t="inlineStr">
        <is>
          <t>ESP-005</t>
        </is>
      </c>
      <c r="B7" s="44" t="inlineStr">
        <is>
          <t>P2 — Haute</t>
        </is>
      </c>
      <c r="C7" s="41" t="inlineStr">
        <is>
          <t>Mon profil — changement de mot de passe</t>
        </is>
      </c>
      <c r="D7" s="41" t="inlineStr"/>
      <c r="E7" s="41" t="inlineStr"/>
      <c r="F7" s="41" t="inlineStr">
        <is>
          <t>1. Saisir ancien mot de passe
2. Nouveau + confirmation
3. Sauvegarder</t>
        </is>
      </c>
      <c r="G7" s="41" t="inlineStr">
        <is>
          <t>Mot de passe changé, session maintenue</t>
        </is>
      </c>
      <c r="H7" s="41" t="inlineStr"/>
      <c r="I7" s="42" t="inlineStr">
        <is>
          <t>⬜ Non exécuté</t>
        </is>
      </c>
      <c r="J7" s="41" t="inlineStr"/>
      <c r="K7" s="41" t="inlineStr"/>
      <c r="L7" s="41" t="inlineStr"/>
      <c r="M7" s="41" t="inlineStr"/>
      <c r="N7" s="41" t="inlineStr"/>
      <c r="O7" s="41" t="inlineStr">
        <is>
          <t>Sprint 1</t>
        </is>
      </c>
      <c r="P7" s="41" t="inlineStr">
        <is>
          <t>Production</t>
        </is>
      </c>
    </row>
    <row r="8" ht="58" customHeight="1">
      <c r="A8" s="49" t="inlineStr">
        <is>
          <t>ESP-006</t>
        </is>
      </c>
      <c r="B8" s="44" t="inlineStr">
        <is>
          <t>P2 — Haute</t>
        </is>
      </c>
      <c r="C8" s="43" t="inlineStr">
        <is>
          <t>Mes 3 dernières absences affichées</t>
        </is>
      </c>
      <c r="D8" s="43" t="inlineStr">
        <is>
          <t>Sur le dashboard /mon-espace</t>
        </is>
      </c>
      <c r="E8" s="43" t="inlineStr"/>
      <c r="F8" s="43" t="inlineStr">
        <is>
          <t>1. Observer la section absences du dashboard</t>
        </is>
      </c>
      <c r="G8" s="43" t="inlineStr">
        <is>
          <t>3 dernières absences avec badge statut coloré</t>
        </is>
      </c>
      <c r="H8" s="43" t="inlineStr"/>
      <c r="I8" s="42" t="inlineStr">
        <is>
          <t>⬜ Non exécuté</t>
        </is>
      </c>
      <c r="J8" s="43" t="inlineStr"/>
      <c r="K8" s="43" t="inlineStr"/>
      <c r="L8" s="43" t="inlineStr"/>
      <c r="M8" s="43" t="inlineStr"/>
      <c r="N8" s="43" t="inlineStr"/>
      <c r="O8" s="43" t="inlineStr">
        <is>
          <t>Sprint 1</t>
        </is>
      </c>
      <c r="P8" s="43" t="inlineStr">
        <is>
          <t>Production</t>
        </is>
      </c>
    </row>
    <row r="9" ht="58" customHeight="1">
      <c r="A9" s="49" t="inlineStr">
        <is>
          <t>ESP-007</t>
        </is>
      </c>
      <c r="B9" s="44" t="inlineStr">
        <is>
          <t>P2 — Haute</t>
        </is>
      </c>
      <c r="C9" s="41" t="inlineStr">
        <is>
          <t>Formations recommandées — 2 cards</t>
        </is>
      </c>
      <c r="D9" s="41" t="inlineStr"/>
      <c r="E9" s="41" t="inlineStr"/>
      <c r="F9" s="41" t="inlineStr">
        <is>
          <t>1. Observer la section formation du dashboard</t>
        </is>
      </c>
      <c r="G9" s="41" t="inlineStr">
        <is>
          <t>2 cards de formations affichées</t>
        </is>
      </c>
      <c r="H9" s="41" t="inlineStr"/>
      <c r="I9" s="42" t="inlineStr">
        <is>
          <t>⬜ Non exécuté</t>
        </is>
      </c>
      <c r="J9" s="41" t="inlineStr"/>
      <c r="K9" s="41" t="inlineStr"/>
      <c r="L9" s="41" t="inlineStr"/>
      <c r="M9" s="41" t="inlineStr"/>
      <c r="N9" s="41" t="inlineStr"/>
      <c r="O9" s="41" t="inlineStr">
        <is>
          <t>Sprint 1</t>
        </is>
      </c>
      <c r="P9" s="41" t="inlineStr">
        <is>
          <t>Production</t>
        </is>
      </c>
    </row>
    <row r="10" ht="58" customHeight="1">
      <c r="A10" s="49" t="inlineStr">
        <is>
          <t>ESP-008</t>
        </is>
      </c>
      <c r="B10" s="40" t="inlineStr">
        <is>
          <t>P1 — Critique</t>
        </is>
      </c>
      <c r="C10" s="43" t="inlineStr">
        <is>
          <t>Accès /mon-espace/bulletins</t>
        </is>
      </c>
      <c r="D10" s="43" t="inlineStr">
        <is>
          <t>Liste des 24 derniers bulletins</t>
        </is>
      </c>
      <c r="E10" s="43" t="inlineStr"/>
      <c r="F10" s="43" t="inlineStr">
        <is>
          <t>1. /mon-espace/bulletins</t>
        </is>
      </c>
      <c r="G10" s="43" t="inlineStr">
        <is>
          <t>Liste avec mois, net payable FCFA, statut, bouton télécharger PDF</t>
        </is>
      </c>
      <c r="H10" s="43" t="inlineStr"/>
      <c r="I10" s="42" t="inlineStr">
        <is>
          <t>⬜ Non exécuté</t>
        </is>
      </c>
      <c r="J10" s="43" t="inlineStr"/>
      <c r="K10" s="43" t="inlineStr"/>
      <c r="L10" s="43" t="inlineStr"/>
      <c r="M10" s="43" t="inlineStr"/>
      <c r="N10" s="43" t="inlineStr"/>
      <c r="O10" s="43" t="inlineStr">
        <is>
          <t>Sprint 1</t>
        </is>
      </c>
      <c r="P10" s="43" t="inlineStr">
        <is>
          <t>Production</t>
        </is>
      </c>
    </row>
  </sheetData>
  <mergeCells count="1">
    <mergeCell ref="A1:P1"/>
  </mergeCells>
  <conditionalFormatting sqref="A3:P10">
    <cfRule type="expression" priority="1" dxfId="0">
      <formula>$I3="✅ Passé"</formula>
    </cfRule>
    <cfRule type="expression" priority="2" dxfId="1">
      <formula>$I3="❌ Échoué"</formula>
    </cfRule>
    <cfRule type="expression" priority="3" dxfId="2">
      <formula>$I3="⚠️ Bloqué"</formula>
    </cfRule>
    <cfRule type="expression" priority="4" dxfId="3">
      <formula>$I3="▶️ En cours"</formula>
    </cfRule>
    <cfRule type="expression" priority="5" dxfId="4">
      <formula>$I3="⬜ Non exécuté"</formula>
    </cfRule>
  </conditionalFormatting>
  <dataValidations count="24">
    <dataValidation sqref="I3" showDropDown="0" showInputMessage="0" showErrorMessage="0" allowBlank="1" type="list">
      <formula1>"✅ Passé,❌ Échoué,⚠️ Bloqué,▶️ En cours,⬜ Non exécuté"</formula1>
    </dataValidation>
    <dataValidation sqref="B3" showDropDown="0" showInputMessage="0" showErrorMessage="0" allowBlank="1" type="list">
      <formula1>"P1 — Critique,P2 — Haute,P3 — Moyenne,P4 — Basse"</formula1>
    </dataValidation>
    <dataValidation sqref="P3" showDropDown="0" showInputMessage="0" showErrorMessage="0" allowBlank="1" type="list">
      <formula1>"Production,Preprod,Local"</formula1>
    </dataValidation>
    <dataValidation sqref="I4" showDropDown="0" showInputMessage="0" showErrorMessage="0" allowBlank="1" type="list">
      <formula1>"✅ Passé,❌ Échoué,⚠️ Bloqué,▶️ En cours,⬜ Non exécuté"</formula1>
    </dataValidation>
    <dataValidation sqref="B4" showDropDown="0" showInputMessage="0" showErrorMessage="0" allowBlank="1" type="list">
      <formula1>"P1 — Critique,P2 — Haute,P3 — Moyenne,P4 — Basse"</formula1>
    </dataValidation>
    <dataValidation sqref="P4" showDropDown="0" showInputMessage="0" showErrorMessage="0" allowBlank="1" type="list">
      <formula1>"Production,Preprod,Local"</formula1>
    </dataValidation>
    <dataValidation sqref="I5" showDropDown="0" showInputMessage="0" showErrorMessage="0" allowBlank="1" type="list">
      <formula1>"✅ Passé,❌ Échoué,⚠️ Bloqué,▶️ En cours,⬜ Non exécuté"</formula1>
    </dataValidation>
    <dataValidation sqref="B5" showDropDown="0" showInputMessage="0" showErrorMessage="0" allowBlank="1" type="list">
      <formula1>"P1 — Critique,P2 — Haute,P3 — Moyenne,P4 — Basse"</formula1>
    </dataValidation>
    <dataValidation sqref="P5" showDropDown="0" showInputMessage="0" showErrorMessage="0" allowBlank="1" type="list">
      <formula1>"Production,Preprod,Local"</formula1>
    </dataValidation>
    <dataValidation sqref="I6" showDropDown="0" showInputMessage="0" showErrorMessage="0" allowBlank="1" type="list">
      <formula1>"✅ Passé,❌ Échoué,⚠️ Bloqué,▶️ En cours,⬜ Non exécuté"</formula1>
    </dataValidation>
    <dataValidation sqref="B6" showDropDown="0" showInputMessage="0" showErrorMessage="0" allowBlank="1" type="list">
      <formula1>"P1 — Critique,P2 — Haute,P3 — Moyenne,P4 — Basse"</formula1>
    </dataValidation>
    <dataValidation sqref="P6" showDropDown="0" showInputMessage="0" showErrorMessage="0" allowBlank="1" type="list">
      <formula1>"Production,Preprod,Local"</formula1>
    </dataValidation>
    <dataValidation sqref="I7" showDropDown="0" showInputMessage="0" showErrorMessage="0" allowBlank="1" type="list">
      <formula1>"✅ Passé,❌ Échoué,⚠️ Bloqué,▶️ En cours,⬜ Non exécuté"</formula1>
    </dataValidation>
    <dataValidation sqref="B7" showDropDown="0" showInputMessage="0" showErrorMessage="0" allowBlank="1" type="list">
      <formula1>"P1 — Critique,P2 — Haute,P3 — Moyenne,P4 — Basse"</formula1>
    </dataValidation>
    <dataValidation sqref="P7" showDropDown="0" showInputMessage="0" showErrorMessage="0" allowBlank="1" type="list">
      <formula1>"Production,Preprod,Local"</formula1>
    </dataValidation>
    <dataValidation sqref="I8" showDropDown="0" showInputMessage="0" showErrorMessage="0" allowBlank="1" type="list">
      <formula1>"✅ Passé,❌ Échoué,⚠️ Bloqué,▶️ En cours,⬜ Non exécuté"</formula1>
    </dataValidation>
    <dataValidation sqref="B8" showDropDown="0" showInputMessage="0" showErrorMessage="0" allowBlank="1" type="list">
      <formula1>"P1 — Critique,P2 — Haute,P3 — Moyenne,P4 — Basse"</formula1>
    </dataValidation>
    <dataValidation sqref="P8" showDropDown="0" showInputMessage="0" showErrorMessage="0" allowBlank="1" type="list">
      <formula1>"Production,Preprod,Local"</formula1>
    </dataValidation>
    <dataValidation sqref="I9" showDropDown="0" showInputMessage="0" showErrorMessage="0" allowBlank="1" type="list">
      <formula1>"✅ Passé,❌ Échoué,⚠️ Bloqué,▶️ En cours,⬜ Non exécuté"</formula1>
    </dataValidation>
    <dataValidation sqref="B9" showDropDown="0" showInputMessage="0" showErrorMessage="0" allowBlank="1" type="list">
      <formula1>"P1 — Critique,P2 — Haute,P3 — Moyenne,P4 — Basse"</formula1>
    </dataValidation>
    <dataValidation sqref="P9" showDropDown="0" showInputMessage="0" showErrorMessage="0" allowBlank="1" type="list">
      <formula1>"Production,Preprod,Local"</formula1>
    </dataValidation>
    <dataValidation sqref="I10" showDropDown="0" showInputMessage="0" showErrorMessage="0" allowBlank="1" type="list">
      <formula1>"✅ Passé,❌ Échoué,⚠️ Bloqué,▶️ En cours,⬜ Non exécuté"</formula1>
    </dataValidation>
    <dataValidation sqref="B10" showDropDown="0" showInputMessage="0" showErrorMessage="0" allowBlank="1" type="list">
      <formula1>"P1 — Critique,P2 — Haute,P3 — Moyenne,P4 — Basse"</formula1>
    </dataValidation>
    <dataValidation sqref="P10" showDropDown="0" showInputMessage="0" showErrorMessage="0" allowBlank="1" type="list">
      <formula1>"Production,Preprod,Local"</formula1>
    </dataValidation>
  </dataValidation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P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38" customWidth="1" min="3" max="3"/>
    <col width="32" customWidth="1" min="4" max="4"/>
    <col width="30" customWidth="1" min="5" max="5"/>
    <col width="40" customWidth="1" min="6" max="6"/>
    <col width="38" customWidth="1" min="7" max="7"/>
    <col width="38" customWidth="1" min="8" max="8"/>
    <col width="18" customWidth="1" min="9" max="9"/>
    <col width="16" customWidth="1" min="10" max="10"/>
    <col width="13" customWidth="1" min="11" max="11"/>
    <col width="12" customWidth="1" min="12" max="12"/>
    <col width="24" customWidth="1" min="13" max="13"/>
    <col width="36" customWidth="1" min="14" max="14"/>
    <col width="10" customWidth="1" min="15" max="15"/>
    <col width="12" customWidth="1" min="16" max="16"/>
  </cols>
  <sheetData>
    <row r="1" ht="26" customHeight="1">
      <c r="A1" s="38" t="inlineStr">
        <is>
          <t xml:space="preserve">  SCÉNARIOS END-TO-END  ·  6 scénarios</t>
        </is>
      </c>
    </row>
    <row r="2" ht="22" customHeight="1">
      <c r="A2" s="39" t="inlineStr">
        <is>
          <t>ID Test</t>
        </is>
      </c>
      <c r="B2" s="39" t="inlineStr">
        <is>
          <t>Priorité</t>
        </is>
      </c>
      <c r="C2" s="39" t="inlineStr">
        <is>
          <t>Titre du scénario</t>
        </is>
      </c>
      <c r="D2" s="39" t="inlineStr">
        <is>
          <t>Description / Contexte</t>
        </is>
      </c>
      <c r="E2" s="39" t="inlineStr">
        <is>
          <t>Prérequis / Données</t>
        </is>
      </c>
      <c r="F2" s="39" t="inlineStr">
        <is>
          <t>Étapes détaillées</t>
        </is>
      </c>
      <c r="G2" s="39" t="inlineStr">
        <is>
          <t>Résultat attendu</t>
        </is>
      </c>
      <c r="H2" s="39" t="inlineStr">
        <is>
          <t>Résultat obtenu</t>
        </is>
      </c>
      <c r="I2" s="39" t="inlineStr">
        <is>
          <t>Statut</t>
        </is>
      </c>
      <c r="J2" s="39" t="inlineStr">
        <is>
          <t>Testeur</t>
        </is>
      </c>
      <c r="K2" s="39" t="inlineStr">
        <is>
          <t>Date test</t>
        </is>
      </c>
      <c r="L2" s="39" t="inlineStr">
        <is>
          <t>Durée (min)</t>
        </is>
      </c>
      <c r="M2" s="39" t="inlineStr">
        <is>
          <t>Ticket / Requalification</t>
        </is>
      </c>
      <c r="N2" s="39" t="inlineStr">
        <is>
          <t>Commentaire / Amélioration</t>
        </is>
      </c>
      <c r="O2" s="39" t="inlineStr">
        <is>
          <t>Sprint</t>
        </is>
      </c>
      <c r="P2" s="39" t="inlineStr">
        <is>
          <t>Env.</t>
        </is>
      </c>
    </row>
    <row r="3" ht="58" customHeight="1">
      <c r="A3" s="4" t="inlineStr">
        <is>
          <t>E2E-001</t>
        </is>
      </c>
      <c r="B3" s="40" t="inlineStr">
        <is>
          <t>P1 — Critique</t>
        </is>
      </c>
      <c r="C3" s="41" t="inlineStr">
        <is>
          <t>Flux admin complet — de zéro à bulletins clôturés</t>
        </is>
      </c>
      <c r="D3" s="41" t="inlineStr">
        <is>
          <t>Créer employé → créer période → générer bulletins → clôturer → télécharger PDF</t>
        </is>
      </c>
      <c r="E3" s="41" t="inlineStr">
        <is>
          <t>Admin SOTRA connecté</t>
        </is>
      </c>
      <c r="F3" s="41" t="inlineStr">
        <is>
          <t>1. Créer nouvel employé avec salaire 250 000 FCFA
2. /payroll → Nouvelle période Mai 2025
3. Générer bulletins
4. Vérifier calcul CNPS+ITS
5. Clôturer
6. Télécharger PDF</t>
        </is>
      </c>
      <c r="G3" s="41" t="inlineStr">
        <is>
          <t>Tout le flux sans erreur 404/500, PDF correct avec données CI</t>
        </is>
      </c>
      <c r="H3" s="41" t="inlineStr"/>
      <c r="I3" s="42" t="inlineStr">
        <is>
          <t>⬜ Non exécuté</t>
        </is>
      </c>
      <c r="J3" s="41" t="inlineStr"/>
      <c r="K3" s="41" t="inlineStr"/>
      <c r="L3" s="41" t="inlineStr"/>
      <c r="M3" s="41" t="inlineStr"/>
      <c r="N3" s="41" t="inlineStr"/>
      <c r="O3" s="41" t="inlineStr">
        <is>
          <t>Sprint 1</t>
        </is>
      </c>
      <c r="P3" s="41" t="inlineStr">
        <is>
          <t>Production</t>
        </is>
      </c>
    </row>
    <row r="4" ht="58" customHeight="1">
      <c r="A4" s="4" t="inlineStr">
        <is>
          <t>E2E-002</t>
        </is>
      </c>
      <c r="B4" s="40" t="inlineStr">
        <is>
          <t>P1 — Critique</t>
        </is>
      </c>
      <c r="C4" s="43" t="inlineStr">
        <is>
          <t>Flux employé self-service complet</t>
        </is>
      </c>
      <c r="D4" s="43" t="inlineStr">
        <is>
          <t>Connexion → demande absence → consultation bulletin → note de frais</t>
        </is>
      </c>
      <c r="E4" s="43" t="inlineStr">
        <is>
          <t>employe@sotra.ci</t>
        </is>
      </c>
      <c r="F4" s="43" t="inlineStr">
        <is>
          <t>1. Connexion → /mon-espace
2. Nouvelle demande absence CP 3 jours
3. Consulter dernier bulletin → Télécharger
4. Créer note de frais brouillon</t>
        </is>
      </c>
      <c r="G4" s="43" t="inlineStr">
        <is>
          <t>Toutes les actions réussies sans erreur, données sauvegardées</t>
        </is>
      </c>
      <c r="H4" s="43" t="inlineStr"/>
      <c r="I4" s="42" t="inlineStr">
        <is>
          <t>⬜ Non exécuté</t>
        </is>
      </c>
      <c r="J4" s="43" t="inlineStr"/>
      <c r="K4" s="43" t="inlineStr"/>
      <c r="L4" s="43" t="inlineStr"/>
      <c r="M4" s="43" t="inlineStr"/>
      <c r="N4" s="43" t="inlineStr"/>
      <c r="O4" s="43" t="inlineStr">
        <is>
          <t>Sprint 1</t>
        </is>
      </c>
      <c r="P4" s="43" t="inlineStr">
        <is>
          <t>Production</t>
        </is>
      </c>
    </row>
    <row r="5" ht="58" customHeight="1">
      <c r="A5" s="4" t="inlineStr">
        <is>
          <t>E2E-003</t>
        </is>
      </c>
      <c r="B5" s="40" t="inlineStr">
        <is>
          <t>P1 — Critique</t>
        </is>
      </c>
      <c r="C5" s="41" t="inlineStr">
        <is>
          <t>Flux RH — recrutement jusqu'à contrat</t>
        </is>
      </c>
      <c r="D5" s="41" t="inlineStr">
        <is>
          <t>Offre → candidature → hired → contrat</t>
        </is>
      </c>
      <c r="E5" s="41" t="inlineStr">
        <is>
          <t>hr_manager connecté</t>
        </is>
      </c>
      <c r="F5" s="41" t="inlineStr">
        <is>
          <t>1. Créer offre 'Technicien'
2. Ajouter candidature
3. Avancer jusqu'à 'hired'
4. Générer contrat CDI CI</t>
        </is>
      </c>
      <c r="G5" s="41" t="inlineStr">
        <is>
          <t>Contrat PDF généré avec clauses OHADA</t>
        </is>
      </c>
      <c r="H5" s="41" t="inlineStr"/>
      <c r="I5" s="42" t="inlineStr">
        <is>
          <t>⬜ Non exécuté</t>
        </is>
      </c>
      <c r="J5" s="41" t="inlineStr"/>
      <c r="K5" s="41" t="inlineStr"/>
      <c r="L5" s="41" t="inlineStr"/>
      <c r="M5" s="41" t="inlineStr"/>
      <c r="N5" s="41" t="inlineStr"/>
      <c r="O5" s="41" t="inlineStr">
        <is>
          <t>Sprint 1</t>
        </is>
      </c>
      <c r="P5" s="41" t="inlineStr">
        <is>
          <t>Production</t>
        </is>
      </c>
    </row>
    <row r="6" ht="58" customHeight="1">
      <c r="A6" s="4" t="inlineStr">
        <is>
          <t>E2E-004</t>
        </is>
      </c>
      <c r="B6" s="40" t="inlineStr">
        <is>
          <t>P1 — Critique</t>
        </is>
      </c>
      <c r="C6" s="43" t="inlineStr">
        <is>
          <t>Flux paie CNPS complet</t>
        </is>
      </c>
      <c r="D6" s="43" t="inlineStr">
        <is>
          <t>Bulletins → déclaration → export e-CNPS</t>
        </is>
      </c>
      <c r="E6" s="43" t="inlineStr">
        <is>
          <t>Admin + bulletins clôturés</t>
        </is>
      </c>
      <c r="F6" s="43" t="inlineStr">
        <is>
          <t>1. Clôturer paie d'un mois
2. /cnps → Générer déclaration
3. Exporter CSV e-CNPS
4. Vérifier totaux cohérents avec bulletins</t>
        </is>
      </c>
      <c r="G6" s="43" t="inlineStr">
        <is>
          <t>CSV cohérent avec la somme des cotisations des bulletins</t>
        </is>
      </c>
      <c r="H6" s="43" t="inlineStr"/>
      <c r="I6" s="42" t="inlineStr">
        <is>
          <t>⬜ Non exécuté</t>
        </is>
      </c>
      <c r="J6" s="43" t="inlineStr"/>
      <c r="K6" s="43" t="inlineStr"/>
      <c r="L6" s="43" t="inlineStr"/>
      <c r="M6" s="43" t="inlineStr"/>
      <c r="N6" s="43" t="inlineStr"/>
      <c r="O6" s="43" t="inlineStr">
        <is>
          <t>Sprint 1</t>
        </is>
      </c>
      <c r="P6" s="43" t="inlineStr">
        <is>
          <t>Production</t>
        </is>
      </c>
    </row>
    <row r="7" ht="58" customHeight="1">
      <c r="A7" s="4" t="inlineStr">
        <is>
          <t>E2E-005</t>
        </is>
      </c>
      <c r="B7" s="40" t="inlineStr">
        <is>
          <t>P1 — Critique</t>
        </is>
      </c>
      <c r="C7" s="41" t="inlineStr">
        <is>
          <t>Création tenant via portail → login admin → données</t>
        </is>
      </c>
      <c r="D7" s="41" t="inlineStr">
        <is>
          <t>Super admin crée tenant, admin se connecte et voit les données démo</t>
        </is>
      </c>
      <c r="E7" s="41" t="inlineStr">
        <is>
          <t>Super admin connecté</t>
        </is>
      </c>
      <c r="F7" s="41" t="inlineStr">
        <is>
          <t>1. Créer tenant 'TestCo' avec seedDemoData=true
2. Noter tempPassword
3. Se connecter avec admin créé
4. Observer /dashboard</t>
        </is>
      </c>
      <c r="G7" s="41" t="inlineStr">
        <is>
          <t>Dashboard RH avec 8 employés, bulletins, absences — aucun écran vide</t>
        </is>
      </c>
      <c r="H7" s="41" t="inlineStr"/>
      <c r="I7" s="42" t="inlineStr">
        <is>
          <t>⬜ Non exécuté</t>
        </is>
      </c>
      <c r="J7" s="41" t="inlineStr"/>
      <c r="K7" s="41" t="inlineStr"/>
      <c r="L7" s="41" t="inlineStr"/>
      <c r="M7" s="41" t="inlineStr"/>
      <c r="N7" s="41" t="inlineStr"/>
      <c r="O7" s="41" t="inlineStr">
        <is>
          <t>Sprint 1</t>
        </is>
      </c>
      <c r="P7" s="41" t="inlineStr">
        <is>
          <t>Production</t>
        </is>
      </c>
    </row>
    <row r="8" ht="58" customHeight="1">
      <c r="A8" s="4" t="inlineStr">
        <is>
          <t>E2E-006</t>
        </is>
      </c>
      <c r="B8" s="44" t="inlineStr">
        <is>
          <t>P2 — Haute</t>
        </is>
      </c>
      <c r="C8" s="43" t="inlineStr">
        <is>
          <t>Flux paiement Mobile Money — campagne Wave complète</t>
        </is>
      </c>
      <c r="D8" s="43" t="inlineStr">
        <is>
          <t>Clôture → campagne → exécution → webhook → bulletin payé</t>
        </is>
      </c>
      <c r="E8" s="43" t="inlineStr">
        <is>
          <t>Admin + bulletins clôturés + Wave configuré</t>
        </is>
      </c>
      <c r="F8" s="43" t="inlineStr">
        <is>
          <t>1. Clôturer paie
2. Créer campagne Mobile Money
3. Exécuter pour employés Wave
4. Simuler callback success
5. Vérifier bulletin marqué 'payé'</t>
        </is>
      </c>
      <c r="G8" s="43" t="inlineStr">
        <is>
          <t>TXN référence stockée, bulletin payment_status = 'paid'</t>
        </is>
      </c>
      <c r="H8" s="43" t="inlineStr"/>
      <c r="I8" s="42" t="inlineStr">
        <is>
          <t>⬜ Non exécuté</t>
        </is>
      </c>
      <c r="J8" s="43" t="inlineStr"/>
      <c r="K8" s="43" t="inlineStr"/>
      <c r="L8" s="43" t="inlineStr"/>
      <c r="M8" s="43" t="inlineStr"/>
      <c r="N8" s="43" t="inlineStr"/>
      <c r="O8" s="43" t="inlineStr">
        <is>
          <t>Sprint 1</t>
        </is>
      </c>
      <c r="P8" s="43" t="inlineStr">
        <is>
          <t>Production</t>
        </is>
      </c>
    </row>
  </sheetData>
  <mergeCells count="1">
    <mergeCell ref="A1:P1"/>
  </mergeCells>
  <conditionalFormatting sqref="A3:P8">
    <cfRule type="expression" priority="1" dxfId="0">
      <formula>$I3="✅ Passé"</formula>
    </cfRule>
    <cfRule type="expression" priority="2" dxfId="1">
      <formula>$I3="❌ Échoué"</formula>
    </cfRule>
    <cfRule type="expression" priority="3" dxfId="2">
      <formula>$I3="⚠️ Bloqué"</formula>
    </cfRule>
    <cfRule type="expression" priority="4" dxfId="3">
      <formula>$I3="▶️ En cours"</formula>
    </cfRule>
    <cfRule type="expression" priority="5" dxfId="4">
      <formula>$I3="⬜ Non exécuté"</formula>
    </cfRule>
  </conditionalFormatting>
  <dataValidations count="18">
    <dataValidation sqref="I3" showDropDown="0" showInputMessage="0" showErrorMessage="0" allowBlank="1" type="list">
      <formula1>"✅ Passé,❌ Échoué,⚠️ Bloqué,▶️ En cours,⬜ Non exécuté"</formula1>
    </dataValidation>
    <dataValidation sqref="B3" showDropDown="0" showInputMessage="0" showErrorMessage="0" allowBlank="1" type="list">
      <formula1>"P1 — Critique,P2 — Haute,P3 — Moyenne,P4 — Basse"</formula1>
    </dataValidation>
    <dataValidation sqref="P3" showDropDown="0" showInputMessage="0" showErrorMessage="0" allowBlank="1" type="list">
      <formula1>"Production,Preprod,Local"</formula1>
    </dataValidation>
    <dataValidation sqref="I4" showDropDown="0" showInputMessage="0" showErrorMessage="0" allowBlank="1" type="list">
      <formula1>"✅ Passé,❌ Échoué,⚠️ Bloqué,▶️ En cours,⬜ Non exécuté"</formula1>
    </dataValidation>
    <dataValidation sqref="B4" showDropDown="0" showInputMessage="0" showErrorMessage="0" allowBlank="1" type="list">
      <formula1>"P1 — Critique,P2 — Haute,P3 — Moyenne,P4 — Basse"</formula1>
    </dataValidation>
    <dataValidation sqref="P4" showDropDown="0" showInputMessage="0" showErrorMessage="0" allowBlank="1" type="list">
      <formula1>"Production,Preprod,Local"</formula1>
    </dataValidation>
    <dataValidation sqref="I5" showDropDown="0" showInputMessage="0" showErrorMessage="0" allowBlank="1" type="list">
      <formula1>"✅ Passé,❌ Échoué,⚠️ Bloqué,▶️ En cours,⬜ Non exécuté"</formula1>
    </dataValidation>
    <dataValidation sqref="B5" showDropDown="0" showInputMessage="0" showErrorMessage="0" allowBlank="1" type="list">
      <formula1>"P1 — Critique,P2 — Haute,P3 — Moyenne,P4 — Basse"</formula1>
    </dataValidation>
    <dataValidation sqref="P5" showDropDown="0" showInputMessage="0" showErrorMessage="0" allowBlank="1" type="list">
      <formula1>"Production,Preprod,Local"</formula1>
    </dataValidation>
    <dataValidation sqref="I6" showDropDown="0" showInputMessage="0" showErrorMessage="0" allowBlank="1" type="list">
      <formula1>"✅ Passé,❌ Échoué,⚠️ Bloqué,▶️ En cours,⬜ Non exécuté"</formula1>
    </dataValidation>
    <dataValidation sqref="B6" showDropDown="0" showInputMessage="0" showErrorMessage="0" allowBlank="1" type="list">
      <formula1>"P1 — Critique,P2 — Haute,P3 — Moyenne,P4 — Basse"</formula1>
    </dataValidation>
    <dataValidation sqref="P6" showDropDown="0" showInputMessage="0" showErrorMessage="0" allowBlank="1" type="list">
      <formula1>"Production,Preprod,Local"</formula1>
    </dataValidation>
    <dataValidation sqref="I7" showDropDown="0" showInputMessage="0" showErrorMessage="0" allowBlank="1" type="list">
      <formula1>"✅ Passé,❌ Échoué,⚠️ Bloqué,▶️ En cours,⬜ Non exécuté"</formula1>
    </dataValidation>
    <dataValidation sqref="B7" showDropDown="0" showInputMessage="0" showErrorMessage="0" allowBlank="1" type="list">
      <formula1>"P1 — Critique,P2 — Haute,P3 — Moyenne,P4 — Basse"</formula1>
    </dataValidation>
    <dataValidation sqref="P7" showDropDown="0" showInputMessage="0" showErrorMessage="0" allowBlank="1" type="list">
      <formula1>"Production,Preprod,Local"</formula1>
    </dataValidation>
    <dataValidation sqref="I8" showDropDown="0" showInputMessage="0" showErrorMessage="0" allowBlank="1" type="list">
      <formula1>"✅ Passé,❌ Échoué,⚠️ Bloqué,▶️ En cours,⬜ Non exécuté"</formula1>
    </dataValidation>
    <dataValidation sqref="B8" showDropDown="0" showInputMessage="0" showErrorMessage="0" allowBlank="1" type="list">
      <formula1>"P1 — Critique,P2 — Haute,P3 — Moyenne,P4 — Basse"</formula1>
    </dataValidation>
    <dataValidation sqref="P8" showDropDown="0" showInputMessage="0" showErrorMessage="0" allowBlank="1" type="list">
      <formula1>"Production,Preprod,Local"</formula1>
    </dataValidation>
  </dataValidation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L25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40" customWidth="1" min="4" max="4"/>
    <col width="44" customWidth="1" min="5" max="5"/>
    <col width="14" customWidth="1" min="6" max="6"/>
    <col width="14" customWidth="1" min="7" max="7"/>
    <col width="16" customWidth="1" min="8" max="8"/>
    <col width="16" customWidth="1" min="9" max="9"/>
    <col width="14" customWidth="1" min="10" max="10"/>
    <col width="14" customWidth="1" min="11" max="11"/>
    <col width="40" customWidth="1" min="12" max="12"/>
  </cols>
  <sheetData>
    <row r="1" ht="24" customHeight="1">
      <c r="A1" s="65" t="inlineStr">
        <is>
          <t xml:space="preserve">  SUIVI DES TICKETS &amp; ANOMALIES — NexusRH CI</t>
        </is>
      </c>
    </row>
    <row r="2" ht="22" customHeight="1">
      <c r="A2" s="7" t="inlineStr">
        <is>
          <t>N° Ticket</t>
        </is>
      </c>
      <c r="B2" s="7" t="inlineStr">
        <is>
          <t>Lié au test</t>
        </is>
      </c>
      <c r="C2" s="7" t="inlineStr">
        <is>
          <t>Module</t>
        </is>
      </c>
      <c r="D2" s="7" t="inlineStr">
        <is>
          <t>Titre de l'anomalie</t>
        </is>
      </c>
      <c r="E2" s="7" t="inlineStr">
        <is>
          <t>Description détaillée</t>
        </is>
      </c>
      <c r="F2" s="7" t="inlineStr">
        <is>
          <t>Priorité</t>
        </is>
      </c>
      <c r="G2" s="7" t="inlineStr">
        <is>
          <t>Sévérité</t>
        </is>
      </c>
      <c r="H2" s="7" t="inlineStr">
        <is>
          <t>Statut ticket</t>
        </is>
      </c>
      <c r="I2" s="7" t="inlineStr">
        <is>
          <t>Assigné à</t>
        </is>
      </c>
      <c r="J2" s="7" t="inlineStr">
        <is>
          <t>Date création</t>
        </is>
      </c>
      <c r="K2" s="7" t="inlineStr">
        <is>
          <t>Date résolution</t>
        </is>
      </c>
      <c r="L2" s="7" t="inlineStr">
        <is>
          <t>Commentaires</t>
        </is>
      </c>
    </row>
    <row r="3" ht="55" customHeight="1">
      <c r="A3" s="7" t="inlineStr">
        <is>
          <t>NRH-001</t>
        </is>
      </c>
      <c r="B3" s="41" t="inlineStr">
        <is>
          <t>CNP-006</t>
        </is>
      </c>
      <c r="C3" s="41" t="inlineStr">
        <is>
          <t>CNPS</t>
        </is>
      </c>
      <c r="D3" s="41" t="inlineStr">
        <is>
          <t>RNS PDF retourne 500</t>
        </is>
      </c>
      <c r="E3" s="41" t="inlineStr">
        <is>
          <t>Le fichier rns-template.pdf n'était pas copié dans dist/assets dans le Dockerfile.</t>
        </is>
      </c>
      <c r="F3" s="40" t="inlineStr">
        <is>
          <t>P1 — Critique</t>
        </is>
      </c>
      <c r="G3" s="41" t="inlineStr">
        <is>
          <t>🔴 Critique</t>
        </is>
      </c>
      <c r="H3" s="41" t="inlineStr">
        <is>
          <t>✅ Résolu</t>
        </is>
      </c>
      <c r="I3" s="41" t="inlineStr">
        <is>
          <t>DevOps</t>
        </is>
      </c>
      <c r="J3" s="41" t="inlineStr">
        <is>
          <t>15/05/2026</t>
        </is>
      </c>
      <c r="K3" s="41" t="inlineStr">
        <is>
          <t>15/05/2026</t>
        </is>
      </c>
      <c r="L3" s="41" t="inlineStr">
        <is>
          <t>Fix: COPY src/assets → dist/assets dans API Dockerfile. Déployé en prod.</t>
        </is>
      </c>
    </row>
    <row r="4" ht="55" customHeight="1">
      <c r="A4" s="7" t="inlineStr">
        <is>
          <t>NRH-002</t>
        </is>
      </c>
      <c r="B4" s="43" t="inlineStr">
        <is>
          <t>AUTH-003</t>
        </is>
      </c>
      <c r="C4" s="43" t="inlineStr">
        <is>
          <t>AUTH</t>
        </is>
      </c>
      <c r="D4" s="43" t="inlineStr">
        <is>
          <t>Login page silencieuse sans afficher l'erreur 401</t>
        </is>
      </c>
      <c r="E4" s="43" t="inlineStr">
        <is>
          <t>L'intercepteur Axios interceptait les routes /auth/ et faisait window.location.href='/login' avant que le composant puisse afficher l'erreur.</t>
        </is>
      </c>
      <c r="F4" s="40" t="inlineStr">
        <is>
          <t>P1 — Critique</t>
        </is>
      </c>
      <c r="G4" s="43" t="inlineStr">
        <is>
          <t>🔴 Critique</t>
        </is>
      </c>
      <c r="H4" s="43" t="inlineStr">
        <is>
          <t>✅ Résolu</t>
        </is>
      </c>
      <c r="I4" s="43" t="inlineStr">
        <is>
          <t>Frontend</t>
        </is>
      </c>
      <c r="J4" s="43" t="inlineStr">
        <is>
          <t>15/05/2026</t>
        </is>
      </c>
      <c r="K4" s="43" t="inlineStr">
        <is>
          <t>15/05/2026</t>
        </is>
      </c>
      <c r="L4" s="43" t="inlineStr">
        <is>
          <t>Fix: intercepteur 401 skip /auth/ routes. Commité et déployé.</t>
        </is>
      </c>
    </row>
    <row r="5" ht="55" customHeight="1">
      <c r="A5" s="7" t="inlineStr">
        <is>
          <t>NRH-003</t>
        </is>
      </c>
      <c r="B5" s="41" t="inlineStr">
        <is>
          <t>AUTH-011</t>
        </is>
      </c>
      <c r="C5" s="41" t="inlineStr">
        <is>
          <t>AUTH</t>
        </is>
      </c>
      <c r="D5" s="41" t="inlineStr">
        <is>
          <t>must_change_password déclenché sur tous les comptes seedés</t>
        </is>
      </c>
      <c r="E5" s="41" t="inlineStr">
        <is>
          <t>last_login_at = NULL dans le seed → must_change_password = true pour tous les utilisateurs.</t>
        </is>
      </c>
      <c r="F5" s="44" t="inlineStr">
        <is>
          <t>P2 — Haute</t>
        </is>
      </c>
      <c r="G5" s="41" t="inlineStr">
        <is>
          <t>🟠 Majeure</t>
        </is>
      </c>
      <c r="H5" s="41" t="inlineStr">
        <is>
          <t>✅ Résolu</t>
        </is>
      </c>
      <c r="I5" s="41" t="inlineStr">
        <is>
          <t>Backend</t>
        </is>
      </c>
      <c r="J5" s="41" t="inlineStr">
        <is>
          <t>15/05/2026</t>
        </is>
      </c>
      <c r="K5" s="41" t="inlineStr">
        <is>
          <t>15/05/2026</t>
        </is>
      </c>
      <c r="L5" s="41" t="inlineStr">
        <is>
          <t>Fix: seed.ts ajoute last_login_at = now() pour tous les users seedés.</t>
        </is>
      </c>
    </row>
    <row r="6" ht="40" customHeight="1">
      <c r="A6" s="66" t="inlineStr">
        <is>
          <t>NRH-004</t>
        </is>
      </c>
      <c r="B6" s="67" t="inlineStr"/>
      <c r="C6" s="67" t="inlineStr"/>
      <c r="D6" s="67" t="inlineStr"/>
      <c r="E6" s="67" t="inlineStr"/>
      <c r="F6" s="67" t="inlineStr"/>
      <c r="G6" s="67" t="inlineStr"/>
      <c r="H6" s="67" t="inlineStr"/>
      <c r="I6" s="67" t="inlineStr"/>
      <c r="J6" s="67" t="inlineStr"/>
      <c r="K6" s="67" t="inlineStr"/>
      <c r="L6" s="67" t="inlineStr"/>
    </row>
    <row r="7" ht="40" customHeight="1">
      <c r="A7" s="66" t="inlineStr">
        <is>
          <t>NRH-005</t>
        </is>
      </c>
      <c r="B7" s="68" t="inlineStr"/>
      <c r="C7" s="68" t="inlineStr"/>
      <c r="D7" s="68" t="inlineStr"/>
      <c r="E7" s="68" t="inlineStr"/>
      <c r="F7" s="68" t="inlineStr"/>
      <c r="G7" s="68" t="inlineStr"/>
      <c r="H7" s="68" t="inlineStr"/>
      <c r="I7" s="68" t="inlineStr"/>
      <c r="J7" s="68" t="inlineStr"/>
      <c r="K7" s="68" t="inlineStr"/>
      <c r="L7" s="68" t="inlineStr"/>
    </row>
    <row r="8" ht="40" customHeight="1">
      <c r="A8" s="66" t="inlineStr">
        <is>
          <t>NRH-006</t>
        </is>
      </c>
      <c r="B8" s="67" t="inlineStr"/>
      <c r="C8" s="67" t="inlineStr"/>
      <c r="D8" s="67" t="inlineStr"/>
      <c r="E8" s="67" t="inlineStr"/>
      <c r="F8" s="67" t="inlineStr"/>
      <c r="G8" s="67" t="inlineStr"/>
      <c r="H8" s="67" t="inlineStr"/>
      <c r="I8" s="67" t="inlineStr"/>
      <c r="J8" s="67" t="inlineStr"/>
      <c r="K8" s="67" t="inlineStr"/>
      <c r="L8" s="67" t="inlineStr"/>
    </row>
    <row r="9" ht="40" customHeight="1">
      <c r="A9" s="66" t="inlineStr">
        <is>
          <t>NRH-007</t>
        </is>
      </c>
      <c r="B9" s="68" t="inlineStr"/>
      <c r="C9" s="68" t="inlineStr"/>
      <c r="D9" s="68" t="inlineStr"/>
      <c r="E9" s="68" t="inlineStr"/>
      <c r="F9" s="68" t="inlineStr"/>
      <c r="G9" s="68" t="inlineStr"/>
      <c r="H9" s="68" t="inlineStr"/>
      <c r="I9" s="68" t="inlineStr"/>
      <c r="J9" s="68" t="inlineStr"/>
      <c r="K9" s="68" t="inlineStr"/>
      <c r="L9" s="68" t="inlineStr"/>
    </row>
    <row r="10" ht="40" customHeight="1">
      <c r="A10" s="66" t="inlineStr">
        <is>
          <t>NRH-008</t>
        </is>
      </c>
      <c r="B10" s="67" t="inlineStr"/>
      <c r="C10" s="67" t="inlineStr"/>
      <c r="D10" s="67" t="inlineStr"/>
      <c r="E10" s="67" t="inlineStr"/>
      <c r="F10" s="67" t="inlineStr"/>
      <c r="G10" s="67" t="inlineStr"/>
      <c r="H10" s="67" t="inlineStr"/>
      <c r="I10" s="67" t="inlineStr"/>
      <c r="J10" s="67" t="inlineStr"/>
      <c r="K10" s="67" t="inlineStr"/>
      <c r="L10" s="67" t="inlineStr"/>
    </row>
    <row r="11" ht="40" customHeight="1">
      <c r="A11" s="66" t="inlineStr">
        <is>
          <t>NRH-009</t>
        </is>
      </c>
      <c r="B11" s="68" t="inlineStr"/>
      <c r="C11" s="68" t="inlineStr"/>
      <c r="D11" s="68" t="inlineStr"/>
      <c r="E11" s="68" t="inlineStr"/>
      <c r="F11" s="68" t="inlineStr"/>
      <c r="G11" s="68" t="inlineStr"/>
      <c r="H11" s="68" t="inlineStr"/>
      <c r="I11" s="68" t="inlineStr"/>
      <c r="J11" s="68" t="inlineStr"/>
      <c r="K11" s="68" t="inlineStr"/>
      <c r="L11" s="68" t="inlineStr"/>
    </row>
    <row r="12" ht="40" customHeight="1">
      <c r="A12" s="66" t="inlineStr">
        <is>
          <t>NRH-010</t>
        </is>
      </c>
      <c r="B12" s="67" t="inlineStr"/>
      <c r="C12" s="67" t="inlineStr"/>
      <c r="D12" s="67" t="inlineStr"/>
      <c r="E12" s="67" t="inlineStr"/>
      <c r="F12" s="67" t="inlineStr"/>
      <c r="G12" s="67" t="inlineStr"/>
      <c r="H12" s="67" t="inlineStr"/>
      <c r="I12" s="67" t="inlineStr"/>
      <c r="J12" s="67" t="inlineStr"/>
      <c r="K12" s="67" t="inlineStr"/>
      <c r="L12" s="67" t="inlineStr"/>
    </row>
    <row r="13" ht="40" customHeight="1">
      <c r="A13" s="66" t="inlineStr">
        <is>
          <t>NRH-011</t>
        </is>
      </c>
      <c r="B13" s="68" t="inlineStr"/>
      <c r="C13" s="68" t="inlineStr"/>
      <c r="D13" s="68" t="inlineStr"/>
      <c r="E13" s="68" t="inlineStr"/>
      <c r="F13" s="68" t="inlineStr"/>
      <c r="G13" s="68" t="inlineStr"/>
      <c r="H13" s="68" t="inlineStr"/>
      <c r="I13" s="68" t="inlineStr"/>
      <c r="J13" s="68" t="inlineStr"/>
      <c r="K13" s="68" t="inlineStr"/>
      <c r="L13" s="68" t="inlineStr"/>
    </row>
    <row r="14" ht="40" customHeight="1">
      <c r="A14" s="66" t="inlineStr">
        <is>
          <t>NRH-012</t>
        </is>
      </c>
      <c r="B14" s="67" t="inlineStr"/>
      <c r="C14" s="67" t="inlineStr"/>
      <c r="D14" s="67" t="inlineStr"/>
      <c r="E14" s="67" t="inlineStr"/>
      <c r="F14" s="67" t="inlineStr"/>
      <c r="G14" s="67" t="inlineStr"/>
      <c r="H14" s="67" t="inlineStr"/>
      <c r="I14" s="67" t="inlineStr"/>
      <c r="J14" s="67" t="inlineStr"/>
      <c r="K14" s="67" t="inlineStr"/>
      <c r="L14" s="67" t="inlineStr"/>
    </row>
    <row r="15" ht="40" customHeight="1">
      <c r="A15" s="66" t="inlineStr">
        <is>
          <t>NRH-013</t>
        </is>
      </c>
      <c r="B15" s="68" t="inlineStr"/>
      <c r="C15" s="68" t="inlineStr"/>
      <c r="D15" s="68" t="inlineStr"/>
      <c r="E15" s="68" t="inlineStr"/>
      <c r="F15" s="68" t="inlineStr"/>
      <c r="G15" s="68" t="inlineStr"/>
      <c r="H15" s="68" t="inlineStr"/>
      <c r="I15" s="68" t="inlineStr"/>
      <c r="J15" s="68" t="inlineStr"/>
      <c r="K15" s="68" t="inlineStr"/>
      <c r="L15" s="68" t="inlineStr"/>
    </row>
    <row r="16" ht="40" customHeight="1">
      <c r="A16" s="66" t="inlineStr">
        <is>
          <t>NRH-014</t>
        </is>
      </c>
      <c r="B16" s="67" t="inlineStr"/>
      <c r="C16" s="67" t="inlineStr"/>
      <c r="D16" s="67" t="inlineStr"/>
      <c r="E16" s="67" t="inlineStr"/>
      <c r="F16" s="67" t="inlineStr"/>
      <c r="G16" s="67" t="inlineStr"/>
      <c r="H16" s="67" t="inlineStr"/>
      <c r="I16" s="67" t="inlineStr"/>
      <c r="J16" s="67" t="inlineStr"/>
      <c r="K16" s="67" t="inlineStr"/>
      <c r="L16" s="67" t="inlineStr"/>
    </row>
    <row r="17" ht="40" customHeight="1">
      <c r="A17" s="66" t="inlineStr">
        <is>
          <t>NRH-015</t>
        </is>
      </c>
      <c r="B17" s="68" t="inlineStr"/>
      <c r="C17" s="68" t="inlineStr"/>
      <c r="D17" s="68" t="inlineStr"/>
      <c r="E17" s="68" t="inlineStr"/>
      <c r="F17" s="68" t="inlineStr"/>
      <c r="G17" s="68" t="inlineStr"/>
      <c r="H17" s="68" t="inlineStr"/>
      <c r="I17" s="68" t="inlineStr"/>
      <c r="J17" s="68" t="inlineStr"/>
      <c r="K17" s="68" t="inlineStr"/>
      <c r="L17" s="68" t="inlineStr"/>
    </row>
    <row r="18" ht="40" customHeight="1">
      <c r="A18" s="66" t="inlineStr">
        <is>
          <t>NRH-016</t>
        </is>
      </c>
      <c r="B18" s="67" t="inlineStr"/>
      <c r="C18" s="67" t="inlineStr"/>
      <c r="D18" s="67" t="inlineStr"/>
      <c r="E18" s="67" t="inlineStr"/>
      <c r="F18" s="67" t="inlineStr"/>
      <c r="G18" s="67" t="inlineStr"/>
      <c r="H18" s="67" t="inlineStr"/>
      <c r="I18" s="67" t="inlineStr"/>
      <c r="J18" s="67" t="inlineStr"/>
      <c r="K18" s="67" t="inlineStr"/>
      <c r="L18" s="67" t="inlineStr"/>
    </row>
    <row r="19" ht="40" customHeight="1">
      <c r="A19" s="66" t="inlineStr">
        <is>
          <t>NRH-017</t>
        </is>
      </c>
      <c r="B19" s="68" t="inlineStr"/>
      <c r="C19" s="68" t="inlineStr"/>
      <c r="D19" s="68" t="inlineStr"/>
      <c r="E19" s="68" t="inlineStr"/>
      <c r="F19" s="68" t="inlineStr"/>
      <c r="G19" s="68" t="inlineStr"/>
      <c r="H19" s="68" t="inlineStr"/>
      <c r="I19" s="68" t="inlineStr"/>
      <c r="J19" s="68" t="inlineStr"/>
      <c r="K19" s="68" t="inlineStr"/>
      <c r="L19" s="68" t="inlineStr"/>
    </row>
    <row r="20" ht="40" customHeight="1">
      <c r="A20" s="66" t="inlineStr">
        <is>
          <t>NRH-018</t>
        </is>
      </c>
      <c r="B20" s="67" t="inlineStr"/>
      <c r="C20" s="67" t="inlineStr"/>
      <c r="D20" s="67" t="inlineStr"/>
      <c r="E20" s="67" t="inlineStr"/>
      <c r="F20" s="67" t="inlineStr"/>
      <c r="G20" s="67" t="inlineStr"/>
      <c r="H20" s="67" t="inlineStr"/>
      <c r="I20" s="67" t="inlineStr"/>
      <c r="J20" s="67" t="inlineStr"/>
      <c r="K20" s="67" t="inlineStr"/>
      <c r="L20" s="67" t="inlineStr"/>
    </row>
    <row r="21" ht="40" customHeight="1">
      <c r="A21" s="66" t="inlineStr">
        <is>
          <t>NRH-019</t>
        </is>
      </c>
      <c r="B21" s="68" t="inlineStr"/>
      <c r="C21" s="68" t="inlineStr"/>
      <c r="D21" s="68" t="inlineStr"/>
      <c r="E21" s="68" t="inlineStr"/>
      <c r="F21" s="68" t="inlineStr"/>
      <c r="G21" s="68" t="inlineStr"/>
      <c r="H21" s="68" t="inlineStr"/>
      <c r="I21" s="68" t="inlineStr"/>
      <c r="J21" s="68" t="inlineStr"/>
      <c r="K21" s="68" t="inlineStr"/>
      <c r="L21" s="68" t="inlineStr"/>
    </row>
    <row r="22" ht="40" customHeight="1">
      <c r="A22" s="66" t="inlineStr">
        <is>
          <t>NRH-020</t>
        </is>
      </c>
      <c r="B22" s="67" t="inlineStr"/>
      <c r="C22" s="67" t="inlineStr"/>
      <c r="D22" s="67" t="inlineStr"/>
      <c r="E22" s="67" t="inlineStr"/>
      <c r="F22" s="67" t="inlineStr"/>
      <c r="G22" s="67" t="inlineStr"/>
      <c r="H22" s="67" t="inlineStr"/>
      <c r="I22" s="67" t="inlineStr"/>
      <c r="J22" s="67" t="inlineStr"/>
      <c r="K22" s="67" t="inlineStr"/>
      <c r="L22" s="67" t="inlineStr"/>
    </row>
    <row r="23" ht="40" customHeight="1">
      <c r="A23" s="66" t="inlineStr">
        <is>
          <t>NRH-021</t>
        </is>
      </c>
      <c r="B23" s="68" t="inlineStr"/>
      <c r="C23" s="68" t="inlineStr"/>
      <c r="D23" s="68" t="inlineStr"/>
      <c r="E23" s="68" t="inlineStr"/>
      <c r="F23" s="68" t="inlineStr"/>
      <c r="G23" s="68" t="inlineStr"/>
      <c r="H23" s="68" t="inlineStr"/>
      <c r="I23" s="68" t="inlineStr"/>
      <c r="J23" s="68" t="inlineStr"/>
      <c r="K23" s="68" t="inlineStr"/>
      <c r="L23" s="68" t="inlineStr"/>
    </row>
    <row r="24" ht="40" customHeight="1">
      <c r="A24" s="66" t="inlineStr">
        <is>
          <t>NRH-022</t>
        </is>
      </c>
      <c r="B24" s="67" t="inlineStr"/>
      <c r="C24" s="67" t="inlineStr"/>
      <c r="D24" s="67" t="inlineStr"/>
      <c r="E24" s="67" t="inlineStr"/>
      <c r="F24" s="67" t="inlineStr"/>
      <c r="G24" s="67" t="inlineStr"/>
      <c r="H24" s="67" t="inlineStr"/>
      <c r="I24" s="67" t="inlineStr"/>
      <c r="J24" s="67" t="inlineStr"/>
      <c r="K24" s="67" t="inlineStr"/>
      <c r="L24" s="67" t="inlineStr"/>
    </row>
    <row r="25" ht="40" customHeight="1">
      <c r="A25" s="66" t="inlineStr">
        <is>
          <t>NRH-023</t>
        </is>
      </c>
      <c r="B25" s="68" t="inlineStr"/>
      <c r="C25" s="68" t="inlineStr"/>
      <c r="D25" s="68" t="inlineStr"/>
      <c r="E25" s="68" t="inlineStr"/>
      <c r="F25" s="68" t="inlineStr"/>
      <c r="G25" s="68" t="inlineStr"/>
      <c r="H25" s="68" t="inlineStr"/>
      <c r="I25" s="68" t="inlineStr"/>
      <c r="J25" s="68" t="inlineStr"/>
      <c r="K25" s="68" t="inlineStr"/>
      <c r="L25" s="68" t="inlineStr"/>
    </row>
  </sheetData>
  <mergeCells count="1">
    <mergeCell ref="A1:L1"/>
  </mergeCells>
  <dataValidations count="729">
    <dataValidation sqref="H3" showDropDown="0" showInputMessage="0" showErrorMessage="0" allowBlank="1" type="list">
      <formula1>"✅ Résolu,🔄 En cours,⏳ À faire,🚫 Abandonné"</formula1>
    </dataValidation>
    <dataValidation sqref="G3" showDropDown="0" showInputMessage="0" showErrorMessage="0" allowBlank="1" type="list">
      <formula1>"🔴 Critique,🟠 Majeure,🟡 Mineure,🟢 Cosmétique"</formula1>
    </dataValidation>
    <dataValidation sqref="F3" showDropDown="0" showInputMessage="0" showErrorMessage="0" allowBlank="1" type="list">
      <formula1>"P1 — Critique,P2 — Haute,P3 — Moyenne,P4 — Basse"</formula1>
    </dataValidation>
    <dataValidation sqref="H4" showDropDown="0" showInputMessage="0" showErrorMessage="0" allowBlank="1" type="list">
      <formula1>"✅ Résolu,🔄 En cours,⏳ À faire,🚫 Abandonné"</formula1>
    </dataValidation>
    <dataValidation sqref="G4" showDropDown="0" showInputMessage="0" showErrorMessage="0" allowBlank="1" type="list">
      <formula1>"🔴 Critique,🟠 Majeure,🟡 Mineure,🟢 Cosmétique"</formula1>
    </dataValidation>
    <dataValidation sqref="F4" showDropDown="0" showInputMessage="0" showErrorMessage="0" allowBlank="1" type="list">
      <formula1>"P1 — Critique,P2 — Haute,P3 — Moyenne,P4 — Basse"</formula1>
    </dataValidation>
    <dataValidation sqref="H5" showDropDown="0" showInputMessage="0" showErrorMessage="0" allowBlank="1" type="list">
      <formula1>"✅ Résolu,🔄 En cours,⏳ À faire,🚫 Abandonné"</formula1>
    </dataValidation>
    <dataValidation sqref="G5" showDropDown="0" showInputMessage="0" showErrorMessage="0" allowBlank="1" type="list">
      <formula1>"🔴 Critique,🟠 Majeure,🟡 Mineure,🟢 Cosmétique"</formula1>
    </dataValidation>
    <dataValidation sqref="F5" showDropDown="0" showInputMessage="0" showErrorMessage="0" allowBlank="1" type="list">
      <formula1>"P1 — Critique,P2 — Haute,P3 — Moyenne,P4 — Basse"</formula1>
    </dataValidation>
    <dataValidation sqref="H6" showDropDown="0" showInputMessage="0" showErrorMessage="0" allowBlank="1" type="list">
      <formula1>"✅ Résolu,🔄 En cours,⏳ À faire,🚫 Abandonné"</formula1>
    </dataValidation>
    <dataValidation sqref="G6" showDropDown="0" showInputMessage="0" showErrorMessage="0" allowBlank="1" type="list">
      <formula1>"🔴 Critique,🟠 Majeure,🟡 Mineure,🟢 Cosmétique"</formula1>
    </dataValidation>
    <dataValidation sqref="F6" showDropDown="0" showInputMessage="0" showErrorMessage="0" allowBlank="1" type="list">
      <formula1>"P1 — Critique,P2 — Haute,P3 — Moyenne,P4 — Basse"</formula1>
    </dataValidation>
    <dataValidation sqref="H6" showDropDown="0" showInputMessage="0" showErrorMessage="0" allowBlank="1" type="list">
      <formula1>"✅ Résolu,🔄 En cours,⏳ À faire,🚫 Abandonné"</formula1>
    </dataValidation>
    <dataValidation sqref="G6" showDropDown="0" showInputMessage="0" showErrorMessage="0" allowBlank="1" type="list">
      <formula1>"🔴 Critique,🟠 Majeure,🟡 Mineure,🟢 Cosmétique"</formula1>
    </dataValidation>
    <dataValidation sqref="F6" showDropDown="0" showInputMessage="0" showErrorMessage="0" allowBlank="1" type="list">
      <formula1>"P1 — Critique,P2 — Haute,P3 — Moyenne,P4 — Basse"</formula1>
    </dataValidation>
    <dataValidation sqref="H6" showDropDown="0" showInputMessage="0" showErrorMessage="0" allowBlank="1" type="list">
      <formula1>"✅ Résolu,🔄 En cours,⏳ À faire,🚫 Abandonné"</formula1>
    </dataValidation>
    <dataValidation sqref="G6" showDropDown="0" showInputMessage="0" showErrorMessage="0" allowBlank="1" type="list">
      <formula1>"🔴 Critique,🟠 Majeure,🟡 Mineure,🟢 Cosmétique"</formula1>
    </dataValidation>
    <dataValidation sqref="F6" showDropDown="0" showInputMessage="0" showErrorMessage="0" allowBlank="1" type="list">
      <formula1>"P1 — Critique,P2 — Haute,P3 — Moyenne,P4 — Basse"</formula1>
    </dataValidation>
    <dataValidation sqref="H6" showDropDown="0" showInputMessage="0" showErrorMessage="0" allowBlank="1" type="list">
      <formula1>"✅ Résolu,🔄 En cours,⏳ À faire,🚫 Abandonné"</formula1>
    </dataValidation>
    <dataValidation sqref="G6" showDropDown="0" showInputMessage="0" showErrorMessage="0" allowBlank="1" type="list">
      <formula1>"🔴 Critique,🟠 Majeure,🟡 Mineure,🟢 Cosmétique"</formula1>
    </dataValidation>
    <dataValidation sqref="F6" showDropDown="0" showInputMessage="0" showErrorMessage="0" allowBlank="1" type="list">
      <formula1>"P1 — Critique,P2 — Haute,P3 — Moyenne,P4 — Basse"</formula1>
    </dataValidation>
    <dataValidation sqref="H6" showDropDown="0" showInputMessage="0" showErrorMessage="0" allowBlank="1" type="list">
      <formula1>"✅ Résolu,🔄 En cours,⏳ À faire,🚫 Abandonné"</formula1>
    </dataValidation>
    <dataValidation sqref="G6" showDropDown="0" showInputMessage="0" showErrorMessage="0" allowBlank="1" type="list">
      <formula1>"🔴 Critique,🟠 Majeure,🟡 Mineure,🟢 Cosmétique"</formula1>
    </dataValidation>
    <dataValidation sqref="F6" showDropDown="0" showInputMessage="0" showErrorMessage="0" allowBlank="1" type="list">
      <formula1>"P1 — Critique,P2 — Haute,P3 — Moyenne,P4 — Basse"</formula1>
    </dataValidation>
    <dataValidation sqref="H6" showDropDown="0" showInputMessage="0" showErrorMessage="0" allowBlank="1" type="list">
      <formula1>"✅ Résolu,🔄 En cours,⏳ À faire,🚫 Abandonné"</formula1>
    </dataValidation>
    <dataValidation sqref="G6" showDropDown="0" showInputMessage="0" showErrorMessage="0" allowBlank="1" type="list">
      <formula1>"🔴 Critique,🟠 Majeure,🟡 Mineure,🟢 Cosmétique"</formula1>
    </dataValidation>
    <dataValidation sqref="F6" showDropDown="0" showInputMessage="0" showErrorMessage="0" allowBlank="1" type="list">
      <formula1>"P1 — Critique,P2 — Haute,P3 — Moyenne,P4 — Basse"</formula1>
    </dataValidation>
    <dataValidation sqref="H6" showDropDown="0" showInputMessage="0" showErrorMessage="0" allowBlank="1" type="list">
      <formula1>"✅ Résolu,🔄 En cours,⏳ À faire,🚫 Abandonné"</formula1>
    </dataValidation>
    <dataValidation sqref="G6" showDropDown="0" showInputMessage="0" showErrorMessage="0" allowBlank="1" type="list">
      <formula1>"🔴 Critique,🟠 Majeure,🟡 Mineure,🟢 Cosmétique"</formula1>
    </dataValidation>
    <dataValidation sqref="F6" showDropDown="0" showInputMessage="0" showErrorMessage="0" allowBlank="1" type="list">
      <formula1>"P1 — Critique,P2 — Haute,P3 — Moyenne,P4 — Basse"</formula1>
    </dataValidation>
    <dataValidation sqref="H6" showDropDown="0" showInputMessage="0" showErrorMessage="0" allowBlank="1" type="list">
      <formula1>"✅ Résolu,🔄 En cours,⏳ À faire,🚫 Abandonné"</formula1>
    </dataValidation>
    <dataValidation sqref="G6" showDropDown="0" showInputMessage="0" showErrorMessage="0" allowBlank="1" type="list">
      <formula1>"🔴 Critique,🟠 Majeure,🟡 Mineure,🟢 Cosmétique"</formula1>
    </dataValidation>
    <dataValidation sqref="F6" showDropDown="0" showInputMessage="0" showErrorMessage="0" allowBlank="1" type="list">
      <formula1>"P1 — Critique,P2 — Haute,P3 — Moyenne,P4 — Basse"</formula1>
    </dataValidation>
    <dataValidation sqref="H6" showDropDown="0" showInputMessage="0" showErrorMessage="0" allowBlank="1" type="list">
      <formula1>"✅ Résolu,🔄 En cours,⏳ À faire,🚫 Abandonné"</formula1>
    </dataValidation>
    <dataValidation sqref="G6" showDropDown="0" showInputMessage="0" showErrorMessage="0" allowBlank="1" type="list">
      <formula1>"🔴 Critique,🟠 Majeure,🟡 Mineure,🟢 Cosmétique"</formula1>
    </dataValidation>
    <dataValidation sqref="F6" showDropDown="0" showInputMessage="0" showErrorMessage="0" allowBlank="1" type="list">
      <formula1>"P1 — Critique,P2 — Haute,P3 — Moyenne,P4 — Basse"</formula1>
    </dataValidation>
    <dataValidation sqref="H6" showDropDown="0" showInputMessage="0" showErrorMessage="0" allowBlank="1" type="list">
      <formula1>"✅ Résolu,🔄 En cours,⏳ À faire,🚫 Abandonné"</formula1>
    </dataValidation>
    <dataValidation sqref="G6" showDropDown="0" showInputMessage="0" showErrorMessage="0" allowBlank="1" type="list">
      <formula1>"🔴 Critique,🟠 Majeure,🟡 Mineure,🟢 Cosmétique"</formula1>
    </dataValidation>
    <dataValidation sqref="F6" showDropDown="0" showInputMessage="0" showErrorMessage="0" allowBlank="1" type="list">
      <formula1>"P1 — Critique,P2 — Haute,P3 — Moyenne,P4 — Basse"</formula1>
    </dataValidation>
    <dataValidation sqref="H6" showDropDown="0" showInputMessage="0" showErrorMessage="0" allowBlank="1" type="list">
      <formula1>"✅ Résolu,🔄 En cours,⏳ À faire,🚫 Abandonné"</formula1>
    </dataValidation>
    <dataValidation sqref="G6" showDropDown="0" showInputMessage="0" showErrorMessage="0" allowBlank="1" type="list">
      <formula1>"🔴 Critique,🟠 Majeure,🟡 Mineure,🟢 Cosmétique"</formula1>
    </dataValidation>
    <dataValidation sqref="F6" showDropDown="0" showInputMessage="0" showErrorMessage="0" allowBlank="1" type="list">
      <formula1>"P1 — Critique,P2 — Haute,P3 — Moyenne,P4 — Basse"</formula1>
    </dataValidation>
    <dataValidation sqref="H6" showDropDown="0" showInputMessage="0" showErrorMessage="0" allowBlank="1" type="list">
      <formula1>"✅ Résolu,🔄 En cours,⏳ À faire,🚫 Abandonné"</formula1>
    </dataValidation>
    <dataValidation sqref="G6" showDropDown="0" showInputMessage="0" showErrorMessage="0" allowBlank="1" type="list">
      <formula1>"🔴 Critique,🟠 Majeure,🟡 Mineure,🟢 Cosmétique"</formula1>
    </dataValidation>
    <dataValidation sqref="F6" showDropDown="0" showInputMessage="0" showErrorMessage="0" allowBlank="1" type="list">
      <formula1>"P1 — Critique,P2 — Haute,P3 — Moyenne,P4 — Basse"</formula1>
    </dataValidation>
    <dataValidation sqref="H7" showDropDown="0" showInputMessage="0" showErrorMessage="0" allowBlank="1" type="list">
      <formula1>"✅ Résolu,🔄 En cours,⏳ À faire,🚫 Abandonné"</formula1>
    </dataValidation>
    <dataValidation sqref="G7" showDropDown="0" showInputMessage="0" showErrorMessage="0" allowBlank="1" type="list">
      <formula1>"🔴 Critique,🟠 Majeure,🟡 Mineure,🟢 Cosmétique"</formula1>
    </dataValidation>
    <dataValidation sqref="F7" showDropDown="0" showInputMessage="0" showErrorMessage="0" allowBlank="1" type="list">
      <formula1>"P1 — Critique,P2 — Haute,P3 — Moyenne,P4 — Basse"</formula1>
    </dataValidation>
    <dataValidation sqref="H7" showDropDown="0" showInputMessage="0" showErrorMessage="0" allowBlank="1" type="list">
      <formula1>"✅ Résolu,🔄 En cours,⏳ À faire,🚫 Abandonné"</formula1>
    </dataValidation>
    <dataValidation sqref="G7" showDropDown="0" showInputMessage="0" showErrorMessage="0" allowBlank="1" type="list">
      <formula1>"🔴 Critique,🟠 Majeure,🟡 Mineure,🟢 Cosmétique"</formula1>
    </dataValidation>
    <dataValidation sqref="F7" showDropDown="0" showInputMessage="0" showErrorMessage="0" allowBlank="1" type="list">
      <formula1>"P1 — Critique,P2 — Haute,P3 — Moyenne,P4 — Basse"</formula1>
    </dataValidation>
    <dataValidation sqref="H7" showDropDown="0" showInputMessage="0" showErrorMessage="0" allowBlank="1" type="list">
      <formula1>"✅ Résolu,🔄 En cours,⏳ À faire,🚫 Abandonné"</formula1>
    </dataValidation>
    <dataValidation sqref="G7" showDropDown="0" showInputMessage="0" showErrorMessage="0" allowBlank="1" type="list">
      <formula1>"🔴 Critique,🟠 Majeure,🟡 Mineure,🟢 Cosmétique"</formula1>
    </dataValidation>
    <dataValidation sqref="F7" showDropDown="0" showInputMessage="0" showErrorMessage="0" allowBlank="1" type="list">
      <formula1>"P1 — Critique,P2 — Haute,P3 — Moyenne,P4 — Basse"</formula1>
    </dataValidation>
    <dataValidation sqref="H7" showDropDown="0" showInputMessage="0" showErrorMessage="0" allowBlank="1" type="list">
      <formula1>"✅ Résolu,🔄 En cours,⏳ À faire,🚫 Abandonné"</formula1>
    </dataValidation>
    <dataValidation sqref="G7" showDropDown="0" showInputMessage="0" showErrorMessage="0" allowBlank="1" type="list">
      <formula1>"🔴 Critique,🟠 Majeure,🟡 Mineure,🟢 Cosmétique"</formula1>
    </dataValidation>
    <dataValidation sqref="F7" showDropDown="0" showInputMessage="0" showErrorMessage="0" allowBlank="1" type="list">
      <formula1>"P1 — Critique,P2 — Haute,P3 — Moyenne,P4 — Basse"</formula1>
    </dataValidation>
    <dataValidation sqref="H7" showDropDown="0" showInputMessage="0" showErrorMessage="0" allowBlank="1" type="list">
      <formula1>"✅ Résolu,🔄 En cours,⏳ À faire,🚫 Abandonné"</formula1>
    </dataValidation>
    <dataValidation sqref="G7" showDropDown="0" showInputMessage="0" showErrorMessage="0" allowBlank="1" type="list">
      <formula1>"🔴 Critique,🟠 Majeure,🟡 Mineure,🟢 Cosmétique"</formula1>
    </dataValidation>
    <dataValidation sqref="F7" showDropDown="0" showInputMessage="0" showErrorMessage="0" allowBlank="1" type="list">
      <formula1>"P1 — Critique,P2 — Haute,P3 — Moyenne,P4 — Basse"</formula1>
    </dataValidation>
    <dataValidation sqref="H7" showDropDown="0" showInputMessage="0" showErrorMessage="0" allowBlank="1" type="list">
      <formula1>"✅ Résolu,🔄 En cours,⏳ À faire,🚫 Abandonné"</formula1>
    </dataValidation>
    <dataValidation sqref="G7" showDropDown="0" showInputMessage="0" showErrorMessage="0" allowBlank="1" type="list">
      <formula1>"🔴 Critique,🟠 Majeure,🟡 Mineure,🟢 Cosmétique"</formula1>
    </dataValidation>
    <dataValidation sqref="F7" showDropDown="0" showInputMessage="0" showErrorMessage="0" allowBlank="1" type="list">
      <formula1>"P1 — Critique,P2 — Haute,P3 — Moyenne,P4 — Basse"</formula1>
    </dataValidation>
    <dataValidation sqref="H7" showDropDown="0" showInputMessage="0" showErrorMessage="0" allowBlank="1" type="list">
      <formula1>"✅ Résolu,🔄 En cours,⏳ À faire,🚫 Abandonné"</formula1>
    </dataValidation>
    <dataValidation sqref="G7" showDropDown="0" showInputMessage="0" showErrorMessage="0" allowBlank="1" type="list">
      <formula1>"🔴 Critique,🟠 Majeure,🟡 Mineure,🟢 Cosmétique"</formula1>
    </dataValidation>
    <dataValidation sqref="F7" showDropDown="0" showInputMessage="0" showErrorMessage="0" allowBlank="1" type="list">
      <formula1>"P1 — Critique,P2 — Haute,P3 — Moyenne,P4 — Basse"</formula1>
    </dataValidation>
    <dataValidation sqref="H7" showDropDown="0" showInputMessage="0" showErrorMessage="0" allowBlank="1" type="list">
      <formula1>"✅ Résolu,🔄 En cours,⏳ À faire,🚫 Abandonné"</formula1>
    </dataValidation>
    <dataValidation sqref="G7" showDropDown="0" showInputMessage="0" showErrorMessage="0" allowBlank="1" type="list">
      <formula1>"🔴 Critique,🟠 Majeure,🟡 Mineure,🟢 Cosmétique"</formula1>
    </dataValidation>
    <dataValidation sqref="F7" showDropDown="0" showInputMessage="0" showErrorMessage="0" allowBlank="1" type="list">
      <formula1>"P1 — Critique,P2 — Haute,P3 — Moyenne,P4 — Basse"</formula1>
    </dataValidation>
    <dataValidation sqref="H7" showDropDown="0" showInputMessage="0" showErrorMessage="0" allowBlank="1" type="list">
      <formula1>"✅ Résolu,🔄 En cours,⏳ À faire,🚫 Abandonné"</formula1>
    </dataValidation>
    <dataValidation sqref="G7" showDropDown="0" showInputMessage="0" showErrorMessage="0" allowBlank="1" type="list">
      <formula1>"🔴 Critique,🟠 Majeure,🟡 Mineure,🟢 Cosmétique"</formula1>
    </dataValidation>
    <dataValidation sqref="F7" showDropDown="0" showInputMessage="0" showErrorMessage="0" allowBlank="1" type="list">
      <formula1>"P1 — Critique,P2 — Haute,P3 — Moyenne,P4 — Basse"</formula1>
    </dataValidation>
    <dataValidation sqref="H7" showDropDown="0" showInputMessage="0" showErrorMessage="0" allowBlank="1" type="list">
      <formula1>"✅ Résolu,🔄 En cours,⏳ À faire,🚫 Abandonné"</formula1>
    </dataValidation>
    <dataValidation sqref="G7" showDropDown="0" showInputMessage="0" showErrorMessage="0" allowBlank="1" type="list">
      <formula1>"🔴 Critique,🟠 Majeure,🟡 Mineure,🟢 Cosmétique"</formula1>
    </dataValidation>
    <dataValidation sqref="F7" showDropDown="0" showInputMessage="0" showErrorMessage="0" allowBlank="1" type="list">
      <formula1>"P1 — Critique,P2 — Haute,P3 — Moyenne,P4 — Basse"</formula1>
    </dataValidation>
    <dataValidation sqref="H7" showDropDown="0" showInputMessage="0" showErrorMessage="0" allowBlank="1" type="list">
      <formula1>"✅ Résolu,🔄 En cours,⏳ À faire,🚫 Abandonné"</formula1>
    </dataValidation>
    <dataValidation sqref="G7" showDropDown="0" showInputMessage="0" showErrorMessage="0" allowBlank="1" type="list">
      <formula1>"🔴 Critique,🟠 Majeure,🟡 Mineure,🟢 Cosmétique"</formula1>
    </dataValidation>
    <dataValidation sqref="F7" showDropDown="0" showInputMessage="0" showErrorMessage="0" allowBlank="1" type="list">
      <formula1>"P1 — Critique,P2 — Haute,P3 — Moyenne,P4 — Basse"</formula1>
    </dataValidation>
    <dataValidation sqref="H7" showDropDown="0" showInputMessage="0" showErrorMessage="0" allowBlank="1" type="list">
      <formula1>"✅ Résolu,🔄 En cours,⏳ À faire,🚫 Abandonné"</formula1>
    </dataValidation>
    <dataValidation sqref="G7" showDropDown="0" showInputMessage="0" showErrorMessage="0" allowBlank="1" type="list">
      <formula1>"🔴 Critique,🟠 Majeure,🟡 Mineure,🟢 Cosmétique"</formula1>
    </dataValidation>
    <dataValidation sqref="F7" showDropDown="0" showInputMessage="0" showErrorMessage="0" allowBlank="1" type="list">
      <formula1>"P1 — Critique,P2 — Haute,P3 — Moyenne,P4 — Basse"</formula1>
    </dataValidation>
    <dataValidation sqref="H8" showDropDown="0" showInputMessage="0" showErrorMessage="0" allowBlank="1" type="list">
      <formula1>"✅ Résolu,🔄 En cours,⏳ À faire,🚫 Abandonné"</formula1>
    </dataValidation>
    <dataValidation sqref="G8" showDropDown="0" showInputMessage="0" showErrorMessage="0" allowBlank="1" type="list">
      <formula1>"🔴 Critique,🟠 Majeure,🟡 Mineure,🟢 Cosmétique"</formula1>
    </dataValidation>
    <dataValidation sqref="F8" showDropDown="0" showInputMessage="0" showErrorMessage="0" allowBlank="1" type="list">
      <formula1>"P1 — Critique,P2 — Haute,P3 — Moyenne,P4 — Basse"</formula1>
    </dataValidation>
    <dataValidation sqref="H8" showDropDown="0" showInputMessage="0" showErrorMessage="0" allowBlank="1" type="list">
      <formula1>"✅ Résolu,🔄 En cours,⏳ À faire,🚫 Abandonné"</formula1>
    </dataValidation>
    <dataValidation sqref="G8" showDropDown="0" showInputMessage="0" showErrorMessage="0" allowBlank="1" type="list">
      <formula1>"🔴 Critique,🟠 Majeure,🟡 Mineure,🟢 Cosmétique"</formula1>
    </dataValidation>
    <dataValidation sqref="F8" showDropDown="0" showInputMessage="0" showErrorMessage="0" allowBlank="1" type="list">
      <formula1>"P1 — Critique,P2 — Haute,P3 — Moyenne,P4 — Basse"</formula1>
    </dataValidation>
    <dataValidation sqref="H8" showDropDown="0" showInputMessage="0" showErrorMessage="0" allowBlank="1" type="list">
      <formula1>"✅ Résolu,🔄 En cours,⏳ À faire,🚫 Abandonné"</formula1>
    </dataValidation>
    <dataValidation sqref="G8" showDropDown="0" showInputMessage="0" showErrorMessage="0" allowBlank="1" type="list">
      <formula1>"🔴 Critique,🟠 Majeure,🟡 Mineure,🟢 Cosmétique"</formula1>
    </dataValidation>
    <dataValidation sqref="F8" showDropDown="0" showInputMessage="0" showErrorMessage="0" allowBlank="1" type="list">
      <formula1>"P1 — Critique,P2 — Haute,P3 — Moyenne,P4 — Basse"</formula1>
    </dataValidation>
    <dataValidation sqref="H8" showDropDown="0" showInputMessage="0" showErrorMessage="0" allowBlank="1" type="list">
      <formula1>"✅ Résolu,🔄 En cours,⏳ À faire,🚫 Abandonné"</formula1>
    </dataValidation>
    <dataValidation sqref="G8" showDropDown="0" showInputMessage="0" showErrorMessage="0" allowBlank="1" type="list">
      <formula1>"🔴 Critique,🟠 Majeure,🟡 Mineure,🟢 Cosmétique"</formula1>
    </dataValidation>
    <dataValidation sqref="F8" showDropDown="0" showInputMessage="0" showErrorMessage="0" allowBlank="1" type="list">
      <formula1>"P1 — Critique,P2 — Haute,P3 — Moyenne,P4 — Basse"</formula1>
    </dataValidation>
    <dataValidation sqref="H8" showDropDown="0" showInputMessage="0" showErrorMessage="0" allowBlank="1" type="list">
      <formula1>"✅ Résolu,🔄 En cours,⏳ À faire,🚫 Abandonné"</formula1>
    </dataValidation>
    <dataValidation sqref="G8" showDropDown="0" showInputMessage="0" showErrorMessage="0" allowBlank="1" type="list">
      <formula1>"🔴 Critique,🟠 Majeure,🟡 Mineure,🟢 Cosmétique"</formula1>
    </dataValidation>
    <dataValidation sqref="F8" showDropDown="0" showInputMessage="0" showErrorMessage="0" allowBlank="1" type="list">
      <formula1>"P1 — Critique,P2 — Haute,P3 — Moyenne,P4 — Basse"</formula1>
    </dataValidation>
    <dataValidation sqref="H8" showDropDown="0" showInputMessage="0" showErrorMessage="0" allowBlank="1" type="list">
      <formula1>"✅ Résolu,🔄 En cours,⏳ À faire,🚫 Abandonné"</formula1>
    </dataValidation>
    <dataValidation sqref="G8" showDropDown="0" showInputMessage="0" showErrorMessage="0" allowBlank="1" type="list">
      <formula1>"🔴 Critique,🟠 Majeure,🟡 Mineure,🟢 Cosmétique"</formula1>
    </dataValidation>
    <dataValidation sqref="F8" showDropDown="0" showInputMessage="0" showErrorMessage="0" allowBlank="1" type="list">
      <formula1>"P1 — Critique,P2 — Haute,P3 — Moyenne,P4 — Basse"</formula1>
    </dataValidation>
    <dataValidation sqref="H8" showDropDown="0" showInputMessage="0" showErrorMessage="0" allowBlank="1" type="list">
      <formula1>"✅ Résolu,🔄 En cours,⏳ À faire,🚫 Abandonné"</formula1>
    </dataValidation>
    <dataValidation sqref="G8" showDropDown="0" showInputMessage="0" showErrorMessage="0" allowBlank="1" type="list">
      <formula1>"🔴 Critique,🟠 Majeure,🟡 Mineure,🟢 Cosmétique"</formula1>
    </dataValidation>
    <dataValidation sqref="F8" showDropDown="0" showInputMessage="0" showErrorMessage="0" allowBlank="1" type="list">
      <formula1>"P1 — Critique,P2 — Haute,P3 — Moyenne,P4 — Basse"</formula1>
    </dataValidation>
    <dataValidation sqref="H8" showDropDown="0" showInputMessage="0" showErrorMessage="0" allowBlank="1" type="list">
      <formula1>"✅ Résolu,🔄 En cours,⏳ À faire,🚫 Abandonné"</formula1>
    </dataValidation>
    <dataValidation sqref="G8" showDropDown="0" showInputMessage="0" showErrorMessage="0" allowBlank="1" type="list">
      <formula1>"🔴 Critique,🟠 Majeure,🟡 Mineure,🟢 Cosmétique"</formula1>
    </dataValidation>
    <dataValidation sqref="F8" showDropDown="0" showInputMessage="0" showErrorMessage="0" allowBlank="1" type="list">
      <formula1>"P1 — Critique,P2 — Haute,P3 — Moyenne,P4 — Basse"</formula1>
    </dataValidation>
    <dataValidation sqref="H8" showDropDown="0" showInputMessage="0" showErrorMessage="0" allowBlank="1" type="list">
      <formula1>"✅ Résolu,🔄 En cours,⏳ À faire,🚫 Abandonné"</formula1>
    </dataValidation>
    <dataValidation sqref="G8" showDropDown="0" showInputMessage="0" showErrorMessage="0" allowBlank="1" type="list">
      <formula1>"🔴 Critique,🟠 Majeure,🟡 Mineure,🟢 Cosmétique"</formula1>
    </dataValidation>
    <dataValidation sqref="F8" showDropDown="0" showInputMessage="0" showErrorMessage="0" allowBlank="1" type="list">
      <formula1>"P1 — Critique,P2 — Haute,P3 — Moyenne,P4 — Basse"</formula1>
    </dataValidation>
    <dataValidation sqref="H8" showDropDown="0" showInputMessage="0" showErrorMessage="0" allowBlank="1" type="list">
      <formula1>"✅ Résolu,🔄 En cours,⏳ À faire,🚫 Abandonné"</formula1>
    </dataValidation>
    <dataValidation sqref="G8" showDropDown="0" showInputMessage="0" showErrorMessage="0" allowBlank="1" type="list">
      <formula1>"🔴 Critique,🟠 Majeure,🟡 Mineure,🟢 Cosmétique"</formula1>
    </dataValidation>
    <dataValidation sqref="F8" showDropDown="0" showInputMessage="0" showErrorMessage="0" allowBlank="1" type="list">
      <formula1>"P1 — Critique,P2 — Haute,P3 — Moyenne,P4 — Basse"</formula1>
    </dataValidation>
    <dataValidation sqref="H8" showDropDown="0" showInputMessage="0" showErrorMessage="0" allowBlank="1" type="list">
      <formula1>"✅ Résolu,🔄 En cours,⏳ À faire,🚫 Abandonné"</formula1>
    </dataValidation>
    <dataValidation sqref="G8" showDropDown="0" showInputMessage="0" showErrorMessage="0" allowBlank="1" type="list">
      <formula1>"🔴 Critique,🟠 Majeure,🟡 Mineure,🟢 Cosmétique"</formula1>
    </dataValidation>
    <dataValidation sqref="F8" showDropDown="0" showInputMessage="0" showErrorMessage="0" allowBlank="1" type="list">
      <formula1>"P1 — Critique,P2 — Haute,P3 — Moyenne,P4 — Basse"</formula1>
    </dataValidation>
    <dataValidation sqref="H8" showDropDown="0" showInputMessage="0" showErrorMessage="0" allowBlank="1" type="list">
      <formula1>"✅ Résolu,🔄 En cours,⏳ À faire,🚫 Abandonné"</formula1>
    </dataValidation>
    <dataValidation sqref="G8" showDropDown="0" showInputMessage="0" showErrorMessage="0" allowBlank="1" type="list">
      <formula1>"🔴 Critique,🟠 Majeure,🟡 Mineure,🟢 Cosmétique"</formula1>
    </dataValidation>
    <dataValidation sqref="F8" showDropDown="0" showInputMessage="0" showErrorMessage="0" allowBlank="1" type="list">
      <formula1>"P1 — Critique,P2 — Haute,P3 — Moyenne,P4 — Basse"</formula1>
    </dataValidation>
    <dataValidation sqref="H9" showDropDown="0" showInputMessage="0" showErrorMessage="0" allowBlank="1" type="list">
      <formula1>"✅ Résolu,🔄 En cours,⏳ À faire,🚫 Abandonné"</formula1>
    </dataValidation>
    <dataValidation sqref="G9" showDropDown="0" showInputMessage="0" showErrorMessage="0" allowBlank="1" type="list">
      <formula1>"🔴 Critique,🟠 Majeure,🟡 Mineure,🟢 Cosmétique"</formula1>
    </dataValidation>
    <dataValidation sqref="F9" showDropDown="0" showInputMessage="0" showErrorMessage="0" allowBlank="1" type="list">
      <formula1>"P1 — Critique,P2 — Haute,P3 — Moyenne,P4 — Basse"</formula1>
    </dataValidation>
    <dataValidation sqref="H9" showDropDown="0" showInputMessage="0" showErrorMessage="0" allowBlank="1" type="list">
      <formula1>"✅ Résolu,🔄 En cours,⏳ À faire,🚫 Abandonné"</formula1>
    </dataValidation>
    <dataValidation sqref="G9" showDropDown="0" showInputMessage="0" showErrorMessage="0" allowBlank="1" type="list">
      <formula1>"🔴 Critique,🟠 Majeure,🟡 Mineure,🟢 Cosmétique"</formula1>
    </dataValidation>
    <dataValidation sqref="F9" showDropDown="0" showInputMessage="0" showErrorMessage="0" allowBlank="1" type="list">
      <formula1>"P1 — Critique,P2 — Haute,P3 — Moyenne,P4 — Basse"</formula1>
    </dataValidation>
    <dataValidation sqref="H9" showDropDown="0" showInputMessage="0" showErrorMessage="0" allowBlank="1" type="list">
      <formula1>"✅ Résolu,🔄 En cours,⏳ À faire,🚫 Abandonné"</formula1>
    </dataValidation>
    <dataValidation sqref="G9" showDropDown="0" showInputMessage="0" showErrorMessage="0" allowBlank="1" type="list">
      <formula1>"🔴 Critique,🟠 Majeure,🟡 Mineure,🟢 Cosmétique"</formula1>
    </dataValidation>
    <dataValidation sqref="F9" showDropDown="0" showInputMessage="0" showErrorMessage="0" allowBlank="1" type="list">
      <formula1>"P1 — Critique,P2 — Haute,P3 — Moyenne,P4 — Basse"</formula1>
    </dataValidation>
    <dataValidation sqref="H9" showDropDown="0" showInputMessage="0" showErrorMessage="0" allowBlank="1" type="list">
      <formula1>"✅ Résolu,🔄 En cours,⏳ À faire,🚫 Abandonné"</formula1>
    </dataValidation>
    <dataValidation sqref="G9" showDropDown="0" showInputMessage="0" showErrorMessage="0" allowBlank="1" type="list">
      <formula1>"🔴 Critique,🟠 Majeure,🟡 Mineure,🟢 Cosmétique"</formula1>
    </dataValidation>
    <dataValidation sqref="F9" showDropDown="0" showInputMessage="0" showErrorMessage="0" allowBlank="1" type="list">
      <formula1>"P1 — Critique,P2 — Haute,P3 — Moyenne,P4 — Basse"</formula1>
    </dataValidation>
    <dataValidation sqref="H9" showDropDown="0" showInputMessage="0" showErrorMessage="0" allowBlank="1" type="list">
      <formula1>"✅ Résolu,🔄 En cours,⏳ À faire,🚫 Abandonné"</formula1>
    </dataValidation>
    <dataValidation sqref="G9" showDropDown="0" showInputMessage="0" showErrorMessage="0" allowBlank="1" type="list">
      <formula1>"🔴 Critique,🟠 Majeure,🟡 Mineure,🟢 Cosmétique"</formula1>
    </dataValidation>
    <dataValidation sqref="F9" showDropDown="0" showInputMessage="0" showErrorMessage="0" allowBlank="1" type="list">
      <formula1>"P1 — Critique,P2 — Haute,P3 — Moyenne,P4 — Basse"</formula1>
    </dataValidation>
    <dataValidation sqref="H9" showDropDown="0" showInputMessage="0" showErrorMessage="0" allowBlank="1" type="list">
      <formula1>"✅ Résolu,🔄 En cours,⏳ À faire,🚫 Abandonné"</formula1>
    </dataValidation>
    <dataValidation sqref="G9" showDropDown="0" showInputMessage="0" showErrorMessage="0" allowBlank="1" type="list">
      <formula1>"🔴 Critique,🟠 Majeure,🟡 Mineure,🟢 Cosmétique"</formula1>
    </dataValidation>
    <dataValidation sqref="F9" showDropDown="0" showInputMessage="0" showErrorMessage="0" allowBlank="1" type="list">
      <formula1>"P1 — Critique,P2 — Haute,P3 — Moyenne,P4 — Basse"</formula1>
    </dataValidation>
    <dataValidation sqref="H9" showDropDown="0" showInputMessage="0" showErrorMessage="0" allowBlank="1" type="list">
      <formula1>"✅ Résolu,🔄 En cours,⏳ À faire,🚫 Abandonné"</formula1>
    </dataValidation>
    <dataValidation sqref="G9" showDropDown="0" showInputMessage="0" showErrorMessage="0" allowBlank="1" type="list">
      <formula1>"🔴 Critique,🟠 Majeure,🟡 Mineure,🟢 Cosmétique"</formula1>
    </dataValidation>
    <dataValidation sqref="F9" showDropDown="0" showInputMessage="0" showErrorMessage="0" allowBlank="1" type="list">
      <formula1>"P1 — Critique,P2 — Haute,P3 — Moyenne,P4 — Basse"</formula1>
    </dataValidation>
    <dataValidation sqref="H9" showDropDown="0" showInputMessage="0" showErrorMessage="0" allowBlank="1" type="list">
      <formula1>"✅ Résolu,🔄 En cours,⏳ À faire,🚫 Abandonné"</formula1>
    </dataValidation>
    <dataValidation sqref="G9" showDropDown="0" showInputMessage="0" showErrorMessage="0" allowBlank="1" type="list">
      <formula1>"🔴 Critique,🟠 Majeure,🟡 Mineure,🟢 Cosmétique"</formula1>
    </dataValidation>
    <dataValidation sqref="F9" showDropDown="0" showInputMessage="0" showErrorMessage="0" allowBlank="1" type="list">
      <formula1>"P1 — Critique,P2 — Haute,P3 — Moyenne,P4 — Basse"</formula1>
    </dataValidation>
    <dataValidation sqref="H9" showDropDown="0" showInputMessage="0" showErrorMessage="0" allowBlank="1" type="list">
      <formula1>"✅ Résolu,🔄 En cours,⏳ À faire,🚫 Abandonné"</formula1>
    </dataValidation>
    <dataValidation sqref="G9" showDropDown="0" showInputMessage="0" showErrorMessage="0" allowBlank="1" type="list">
      <formula1>"🔴 Critique,🟠 Majeure,🟡 Mineure,🟢 Cosmétique"</formula1>
    </dataValidation>
    <dataValidation sqref="F9" showDropDown="0" showInputMessage="0" showErrorMessage="0" allowBlank="1" type="list">
      <formula1>"P1 — Critique,P2 — Haute,P3 — Moyenne,P4 — Basse"</formula1>
    </dataValidation>
    <dataValidation sqref="H9" showDropDown="0" showInputMessage="0" showErrorMessage="0" allowBlank="1" type="list">
      <formula1>"✅ Résolu,🔄 En cours,⏳ À faire,🚫 Abandonné"</formula1>
    </dataValidation>
    <dataValidation sqref="G9" showDropDown="0" showInputMessage="0" showErrorMessage="0" allowBlank="1" type="list">
      <formula1>"🔴 Critique,🟠 Majeure,🟡 Mineure,🟢 Cosmétique"</formula1>
    </dataValidation>
    <dataValidation sqref="F9" showDropDown="0" showInputMessage="0" showErrorMessage="0" allowBlank="1" type="list">
      <formula1>"P1 — Critique,P2 — Haute,P3 — Moyenne,P4 — Basse"</formula1>
    </dataValidation>
    <dataValidation sqref="H9" showDropDown="0" showInputMessage="0" showErrorMessage="0" allowBlank="1" type="list">
      <formula1>"✅ Résolu,🔄 En cours,⏳ À faire,🚫 Abandonné"</formula1>
    </dataValidation>
    <dataValidation sqref="G9" showDropDown="0" showInputMessage="0" showErrorMessage="0" allowBlank="1" type="list">
      <formula1>"🔴 Critique,🟠 Majeure,🟡 Mineure,🟢 Cosmétique"</formula1>
    </dataValidation>
    <dataValidation sqref="F9" showDropDown="0" showInputMessage="0" showErrorMessage="0" allowBlank="1" type="list">
      <formula1>"P1 — Critique,P2 — Haute,P3 — Moyenne,P4 — Basse"</formula1>
    </dataValidation>
    <dataValidation sqref="H9" showDropDown="0" showInputMessage="0" showErrorMessage="0" allowBlank="1" type="list">
      <formula1>"✅ Résolu,🔄 En cours,⏳ À faire,🚫 Abandonné"</formula1>
    </dataValidation>
    <dataValidation sqref="G9" showDropDown="0" showInputMessage="0" showErrorMessage="0" allowBlank="1" type="list">
      <formula1>"🔴 Critique,🟠 Majeure,🟡 Mineure,🟢 Cosmétique"</formula1>
    </dataValidation>
    <dataValidation sqref="F9" showDropDown="0" showInputMessage="0" showErrorMessage="0" allowBlank="1" type="list">
      <formula1>"P1 — Critique,P2 — Haute,P3 — Moyenne,P4 — Basse"</formula1>
    </dataValidation>
    <dataValidation sqref="H10" showDropDown="0" showInputMessage="0" showErrorMessage="0" allowBlank="1" type="list">
      <formula1>"✅ Résolu,🔄 En cours,⏳ À faire,🚫 Abandonné"</formula1>
    </dataValidation>
    <dataValidation sqref="G10" showDropDown="0" showInputMessage="0" showErrorMessage="0" allowBlank="1" type="list">
      <formula1>"🔴 Critique,🟠 Majeure,🟡 Mineure,🟢 Cosmétique"</formula1>
    </dataValidation>
    <dataValidation sqref="F10" showDropDown="0" showInputMessage="0" showErrorMessage="0" allowBlank="1" type="list">
      <formula1>"P1 — Critique,P2 — Haute,P3 — Moyenne,P4 — Basse"</formula1>
    </dataValidation>
    <dataValidation sqref="H10" showDropDown="0" showInputMessage="0" showErrorMessage="0" allowBlank="1" type="list">
      <formula1>"✅ Résolu,🔄 En cours,⏳ À faire,🚫 Abandonné"</formula1>
    </dataValidation>
    <dataValidation sqref="G10" showDropDown="0" showInputMessage="0" showErrorMessage="0" allowBlank="1" type="list">
      <formula1>"🔴 Critique,🟠 Majeure,🟡 Mineure,🟢 Cosmétique"</formula1>
    </dataValidation>
    <dataValidation sqref="F10" showDropDown="0" showInputMessage="0" showErrorMessage="0" allowBlank="1" type="list">
      <formula1>"P1 — Critique,P2 — Haute,P3 — Moyenne,P4 — Basse"</formula1>
    </dataValidation>
    <dataValidation sqref="H10" showDropDown="0" showInputMessage="0" showErrorMessage="0" allowBlank="1" type="list">
      <formula1>"✅ Résolu,🔄 En cours,⏳ À faire,🚫 Abandonné"</formula1>
    </dataValidation>
    <dataValidation sqref="G10" showDropDown="0" showInputMessage="0" showErrorMessage="0" allowBlank="1" type="list">
      <formula1>"🔴 Critique,🟠 Majeure,🟡 Mineure,🟢 Cosmétique"</formula1>
    </dataValidation>
    <dataValidation sqref="F10" showDropDown="0" showInputMessage="0" showErrorMessage="0" allowBlank="1" type="list">
      <formula1>"P1 — Critique,P2 — Haute,P3 — Moyenne,P4 — Basse"</formula1>
    </dataValidation>
    <dataValidation sqref="H10" showDropDown="0" showInputMessage="0" showErrorMessage="0" allowBlank="1" type="list">
      <formula1>"✅ Résolu,🔄 En cours,⏳ À faire,🚫 Abandonné"</formula1>
    </dataValidation>
    <dataValidation sqref="G10" showDropDown="0" showInputMessage="0" showErrorMessage="0" allowBlank="1" type="list">
      <formula1>"🔴 Critique,🟠 Majeure,🟡 Mineure,🟢 Cosmétique"</formula1>
    </dataValidation>
    <dataValidation sqref="F10" showDropDown="0" showInputMessage="0" showErrorMessage="0" allowBlank="1" type="list">
      <formula1>"P1 — Critique,P2 — Haute,P3 — Moyenne,P4 — Basse"</formula1>
    </dataValidation>
    <dataValidation sqref="H10" showDropDown="0" showInputMessage="0" showErrorMessage="0" allowBlank="1" type="list">
      <formula1>"✅ Résolu,🔄 En cours,⏳ À faire,🚫 Abandonné"</formula1>
    </dataValidation>
    <dataValidation sqref="G10" showDropDown="0" showInputMessage="0" showErrorMessage="0" allowBlank="1" type="list">
      <formula1>"🔴 Critique,🟠 Majeure,🟡 Mineure,🟢 Cosmétique"</formula1>
    </dataValidation>
    <dataValidation sqref="F10" showDropDown="0" showInputMessage="0" showErrorMessage="0" allowBlank="1" type="list">
      <formula1>"P1 — Critique,P2 — Haute,P3 — Moyenne,P4 — Basse"</formula1>
    </dataValidation>
    <dataValidation sqref="H10" showDropDown="0" showInputMessage="0" showErrorMessage="0" allowBlank="1" type="list">
      <formula1>"✅ Résolu,🔄 En cours,⏳ À faire,🚫 Abandonné"</formula1>
    </dataValidation>
    <dataValidation sqref="G10" showDropDown="0" showInputMessage="0" showErrorMessage="0" allowBlank="1" type="list">
      <formula1>"🔴 Critique,🟠 Majeure,🟡 Mineure,🟢 Cosmétique"</formula1>
    </dataValidation>
    <dataValidation sqref="F10" showDropDown="0" showInputMessage="0" showErrorMessage="0" allowBlank="1" type="list">
      <formula1>"P1 — Critique,P2 — Haute,P3 — Moyenne,P4 — Basse"</formula1>
    </dataValidation>
    <dataValidation sqref="H10" showDropDown="0" showInputMessage="0" showErrorMessage="0" allowBlank="1" type="list">
      <formula1>"✅ Résolu,🔄 En cours,⏳ À faire,🚫 Abandonné"</formula1>
    </dataValidation>
    <dataValidation sqref="G10" showDropDown="0" showInputMessage="0" showErrorMessage="0" allowBlank="1" type="list">
      <formula1>"🔴 Critique,🟠 Majeure,🟡 Mineure,🟢 Cosmétique"</formula1>
    </dataValidation>
    <dataValidation sqref="F10" showDropDown="0" showInputMessage="0" showErrorMessage="0" allowBlank="1" type="list">
      <formula1>"P1 — Critique,P2 — Haute,P3 — Moyenne,P4 — Basse"</formula1>
    </dataValidation>
    <dataValidation sqref="H10" showDropDown="0" showInputMessage="0" showErrorMessage="0" allowBlank="1" type="list">
      <formula1>"✅ Résolu,🔄 En cours,⏳ À faire,🚫 Abandonné"</formula1>
    </dataValidation>
    <dataValidation sqref="G10" showDropDown="0" showInputMessage="0" showErrorMessage="0" allowBlank="1" type="list">
      <formula1>"🔴 Critique,🟠 Majeure,🟡 Mineure,🟢 Cosmétique"</formula1>
    </dataValidation>
    <dataValidation sqref="F10" showDropDown="0" showInputMessage="0" showErrorMessage="0" allowBlank="1" type="list">
      <formula1>"P1 — Critique,P2 — Haute,P3 — Moyenne,P4 — Basse"</formula1>
    </dataValidation>
    <dataValidation sqref="H10" showDropDown="0" showInputMessage="0" showErrorMessage="0" allowBlank="1" type="list">
      <formula1>"✅ Résolu,🔄 En cours,⏳ À faire,🚫 Abandonné"</formula1>
    </dataValidation>
    <dataValidation sqref="G10" showDropDown="0" showInputMessage="0" showErrorMessage="0" allowBlank="1" type="list">
      <formula1>"🔴 Critique,🟠 Majeure,🟡 Mineure,🟢 Cosmétique"</formula1>
    </dataValidation>
    <dataValidation sqref="F10" showDropDown="0" showInputMessage="0" showErrorMessage="0" allowBlank="1" type="list">
      <formula1>"P1 — Critique,P2 — Haute,P3 — Moyenne,P4 — Basse"</formula1>
    </dataValidation>
    <dataValidation sqref="H10" showDropDown="0" showInputMessage="0" showErrorMessage="0" allowBlank="1" type="list">
      <formula1>"✅ Résolu,🔄 En cours,⏳ À faire,🚫 Abandonné"</formula1>
    </dataValidation>
    <dataValidation sqref="G10" showDropDown="0" showInputMessage="0" showErrorMessage="0" allowBlank="1" type="list">
      <formula1>"🔴 Critique,🟠 Majeure,🟡 Mineure,🟢 Cosmétique"</formula1>
    </dataValidation>
    <dataValidation sqref="F10" showDropDown="0" showInputMessage="0" showErrorMessage="0" allowBlank="1" type="list">
      <formula1>"P1 — Critique,P2 — Haute,P3 — Moyenne,P4 — Basse"</formula1>
    </dataValidation>
    <dataValidation sqref="H10" showDropDown="0" showInputMessage="0" showErrorMessage="0" allowBlank="1" type="list">
      <formula1>"✅ Résolu,🔄 En cours,⏳ À faire,🚫 Abandonné"</formula1>
    </dataValidation>
    <dataValidation sqref="G10" showDropDown="0" showInputMessage="0" showErrorMessage="0" allowBlank="1" type="list">
      <formula1>"🔴 Critique,🟠 Majeure,🟡 Mineure,🟢 Cosmétique"</formula1>
    </dataValidation>
    <dataValidation sqref="F10" showDropDown="0" showInputMessage="0" showErrorMessage="0" allowBlank="1" type="list">
      <formula1>"P1 — Critique,P2 — Haute,P3 — Moyenne,P4 — Basse"</formula1>
    </dataValidation>
    <dataValidation sqref="H10" showDropDown="0" showInputMessage="0" showErrorMessage="0" allowBlank="1" type="list">
      <formula1>"✅ Résolu,🔄 En cours,⏳ À faire,🚫 Abandonné"</formula1>
    </dataValidation>
    <dataValidation sqref="G10" showDropDown="0" showInputMessage="0" showErrorMessage="0" allowBlank="1" type="list">
      <formula1>"🔴 Critique,🟠 Majeure,🟡 Mineure,🟢 Cosmétique"</formula1>
    </dataValidation>
    <dataValidation sqref="F10" showDropDown="0" showInputMessage="0" showErrorMessage="0" allowBlank="1" type="list">
      <formula1>"P1 — Critique,P2 — Haute,P3 — Moyenne,P4 — Basse"</formula1>
    </dataValidation>
    <dataValidation sqref="H11" showDropDown="0" showInputMessage="0" showErrorMessage="0" allowBlank="1" type="list">
      <formula1>"✅ Résolu,🔄 En cours,⏳ À faire,🚫 Abandonné"</formula1>
    </dataValidation>
    <dataValidation sqref="G11" showDropDown="0" showInputMessage="0" showErrorMessage="0" allowBlank="1" type="list">
      <formula1>"🔴 Critique,🟠 Majeure,🟡 Mineure,🟢 Cosmétique"</formula1>
    </dataValidation>
    <dataValidation sqref="F11" showDropDown="0" showInputMessage="0" showErrorMessage="0" allowBlank="1" type="list">
      <formula1>"P1 — Critique,P2 — Haute,P3 — Moyenne,P4 — Basse"</formula1>
    </dataValidation>
    <dataValidation sqref="H11" showDropDown="0" showInputMessage="0" showErrorMessage="0" allowBlank="1" type="list">
      <formula1>"✅ Résolu,🔄 En cours,⏳ À faire,🚫 Abandonné"</formula1>
    </dataValidation>
    <dataValidation sqref="G11" showDropDown="0" showInputMessage="0" showErrorMessage="0" allowBlank="1" type="list">
      <formula1>"🔴 Critique,🟠 Majeure,🟡 Mineure,🟢 Cosmétique"</formula1>
    </dataValidation>
    <dataValidation sqref="F11" showDropDown="0" showInputMessage="0" showErrorMessage="0" allowBlank="1" type="list">
      <formula1>"P1 — Critique,P2 — Haute,P3 — Moyenne,P4 — Basse"</formula1>
    </dataValidation>
    <dataValidation sqref="H11" showDropDown="0" showInputMessage="0" showErrorMessage="0" allowBlank="1" type="list">
      <formula1>"✅ Résolu,🔄 En cours,⏳ À faire,🚫 Abandonné"</formula1>
    </dataValidation>
    <dataValidation sqref="G11" showDropDown="0" showInputMessage="0" showErrorMessage="0" allowBlank="1" type="list">
      <formula1>"🔴 Critique,🟠 Majeure,🟡 Mineure,🟢 Cosmétique"</formula1>
    </dataValidation>
    <dataValidation sqref="F11" showDropDown="0" showInputMessage="0" showErrorMessage="0" allowBlank="1" type="list">
      <formula1>"P1 — Critique,P2 — Haute,P3 — Moyenne,P4 — Basse"</formula1>
    </dataValidation>
    <dataValidation sqref="H11" showDropDown="0" showInputMessage="0" showErrorMessage="0" allowBlank="1" type="list">
      <formula1>"✅ Résolu,🔄 En cours,⏳ À faire,🚫 Abandonné"</formula1>
    </dataValidation>
    <dataValidation sqref="G11" showDropDown="0" showInputMessage="0" showErrorMessage="0" allowBlank="1" type="list">
      <formula1>"🔴 Critique,🟠 Majeure,🟡 Mineure,🟢 Cosmétique"</formula1>
    </dataValidation>
    <dataValidation sqref="F11" showDropDown="0" showInputMessage="0" showErrorMessage="0" allowBlank="1" type="list">
      <formula1>"P1 — Critique,P2 — Haute,P3 — Moyenne,P4 — Basse"</formula1>
    </dataValidation>
    <dataValidation sqref="H11" showDropDown="0" showInputMessage="0" showErrorMessage="0" allowBlank="1" type="list">
      <formula1>"✅ Résolu,🔄 En cours,⏳ À faire,🚫 Abandonné"</formula1>
    </dataValidation>
    <dataValidation sqref="G11" showDropDown="0" showInputMessage="0" showErrorMessage="0" allowBlank="1" type="list">
      <formula1>"🔴 Critique,🟠 Majeure,🟡 Mineure,🟢 Cosmétique"</formula1>
    </dataValidation>
    <dataValidation sqref="F11" showDropDown="0" showInputMessage="0" showErrorMessage="0" allowBlank="1" type="list">
      <formula1>"P1 — Critique,P2 — Haute,P3 — Moyenne,P4 — Basse"</formula1>
    </dataValidation>
    <dataValidation sqref="H11" showDropDown="0" showInputMessage="0" showErrorMessage="0" allowBlank="1" type="list">
      <formula1>"✅ Résolu,🔄 En cours,⏳ À faire,🚫 Abandonné"</formula1>
    </dataValidation>
    <dataValidation sqref="G11" showDropDown="0" showInputMessage="0" showErrorMessage="0" allowBlank="1" type="list">
      <formula1>"🔴 Critique,🟠 Majeure,🟡 Mineure,🟢 Cosmétique"</formula1>
    </dataValidation>
    <dataValidation sqref="F11" showDropDown="0" showInputMessage="0" showErrorMessage="0" allowBlank="1" type="list">
      <formula1>"P1 — Critique,P2 — Haute,P3 — Moyenne,P4 — Basse"</formula1>
    </dataValidation>
    <dataValidation sqref="H11" showDropDown="0" showInputMessage="0" showErrorMessage="0" allowBlank="1" type="list">
      <formula1>"✅ Résolu,🔄 En cours,⏳ À faire,🚫 Abandonné"</formula1>
    </dataValidation>
    <dataValidation sqref="G11" showDropDown="0" showInputMessage="0" showErrorMessage="0" allowBlank="1" type="list">
      <formula1>"🔴 Critique,🟠 Majeure,🟡 Mineure,🟢 Cosmétique"</formula1>
    </dataValidation>
    <dataValidation sqref="F11" showDropDown="0" showInputMessage="0" showErrorMessage="0" allowBlank="1" type="list">
      <formula1>"P1 — Critique,P2 — Haute,P3 — Moyenne,P4 — Basse"</formula1>
    </dataValidation>
    <dataValidation sqref="H11" showDropDown="0" showInputMessage="0" showErrorMessage="0" allowBlank="1" type="list">
      <formula1>"✅ Résolu,🔄 En cours,⏳ À faire,🚫 Abandonné"</formula1>
    </dataValidation>
    <dataValidation sqref="G11" showDropDown="0" showInputMessage="0" showErrorMessage="0" allowBlank="1" type="list">
      <formula1>"🔴 Critique,🟠 Majeure,🟡 Mineure,🟢 Cosmétique"</formula1>
    </dataValidation>
    <dataValidation sqref="F11" showDropDown="0" showInputMessage="0" showErrorMessage="0" allowBlank="1" type="list">
      <formula1>"P1 — Critique,P2 — Haute,P3 — Moyenne,P4 — Basse"</formula1>
    </dataValidation>
    <dataValidation sqref="H11" showDropDown="0" showInputMessage="0" showErrorMessage="0" allowBlank="1" type="list">
      <formula1>"✅ Résolu,🔄 En cours,⏳ À faire,🚫 Abandonné"</formula1>
    </dataValidation>
    <dataValidation sqref="G11" showDropDown="0" showInputMessage="0" showErrorMessage="0" allowBlank="1" type="list">
      <formula1>"🔴 Critique,🟠 Majeure,🟡 Mineure,🟢 Cosmétique"</formula1>
    </dataValidation>
    <dataValidation sqref="F11" showDropDown="0" showInputMessage="0" showErrorMessage="0" allowBlank="1" type="list">
      <formula1>"P1 — Critique,P2 — Haute,P3 — Moyenne,P4 — Basse"</formula1>
    </dataValidation>
    <dataValidation sqref="H11" showDropDown="0" showInputMessage="0" showErrorMessage="0" allowBlank="1" type="list">
      <formula1>"✅ Résolu,🔄 En cours,⏳ À faire,🚫 Abandonné"</formula1>
    </dataValidation>
    <dataValidation sqref="G11" showDropDown="0" showInputMessage="0" showErrorMessage="0" allowBlank="1" type="list">
      <formula1>"🔴 Critique,🟠 Majeure,🟡 Mineure,🟢 Cosmétique"</formula1>
    </dataValidation>
    <dataValidation sqref="F11" showDropDown="0" showInputMessage="0" showErrorMessage="0" allowBlank="1" type="list">
      <formula1>"P1 — Critique,P2 — Haute,P3 — Moyenne,P4 — Basse"</formula1>
    </dataValidation>
    <dataValidation sqref="H11" showDropDown="0" showInputMessage="0" showErrorMessage="0" allowBlank="1" type="list">
      <formula1>"✅ Résolu,🔄 En cours,⏳ À faire,🚫 Abandonné"</formula1>
    </dataValidation>
    <dataValidation sqref="G11" showDropDown="0" showInputMessage="0" showErrorMessage="0" allowBlank="1" type="list">
      <formula1>"🔴 Critique,🟠 Majeure,🟡 Mineure,🟢 Cosmétique"</formula1>
    </dataValidation>
    <dataValidation sqref="F11" showDropDown="0" showInputMessage="0" showErrorMessage="0" allowBlank="1" type="list">
      <formula1>"P1 — Critique,P2 — Haute,P3 — Moyenne,P4 — Basse"</formula1>
    </dataValidation>
    <dataValidation sqref="H11" showDropDown="0" showInputMessage="0" showErrorMessage="0" allowBlank="1" type="list">
      <formula1>"✅ Résolu,🔄 En cours,⏳ À faire,🚫 Abandonné"</formula1>
    </dataValidation>
    <dataValidation sqref="G11" showDropDown="0" showInputMessage="0" showErrorMessage="0" allowBlank="1" type="list">
      <formula1>"🔴 Critique,🟠 Majeure,🟡 Mineure,🟢 Cosmétique"</formula1>
    </dataValidation>
    <dataValidation sqref="F11" showDropDown="0" showInputMessage="0" showErrorMessage="0" allowBlank="1" type="list">
      <formula1>"P1 — Critique,P2 — Haute,P3 — Moyenne,P4 — Basse"</formula1>
    </dataValidation>
    <dataValidation sqref="H12" showDropDown="0" showInputMessage="0" showErrorMessage="0" allowBlank="1" type="list">
      <formula1>"✅ Résolu,🔄 En cours,⏳ À faire,🚫 Abandonné"</formula1>
    </dataValidation>
    <dataValidation sqref="G12" showDropDown="0" showInputMessage="0" showErrorMessage="0" allowBlank="1" type="list">
      <formula1>"🔴 Critique,🟠 Majeure,🟡 Mineure,🟢 Cosmétique"</formula1>
    </dataValidation>
    <dataValidation sqref="F12" showDropDown="0" showInputMessage="0" showErrorMessage="0" allowBlank="1" type="list">
      <formula1>"P1 — Critique,P2 — Haute,P3 — Moyenne,P4 — Basse"</formula1>
    </dataValidation>
    <dataValidation sqref="H12" showDropDown="0" showInputMessage="0" showErrorMessage="0" allowBlank="1" type="list">
      <formula1>"✅ Résolu,🔄 En cours,⏳ À faire,🚫 Abandonné"</formula1>
    </dataValidation>
    <dataValidation sqref="G12" showDropDown="0" showInputMessage="0" showErrorMessage="0" allowBlank="1" type="list">
      <formula1>"🔴 Critique,🟠 Majeure,🟡 Mineure,🟢 Cosmétique"</formula1>
    </dataValidation>
    <dataValidation sqref="F12" showDropDown="0" showInputMessage="0" showErrorMessage="0" allowBlank="1" type="list">
      <formula1>"P1 — Critique,P2 — Haute,P3 — Moyenne,P4 — Basse"</formula1>
    </dataValidation>
    <dataValidation sqref="H12" showDropDown="0" showInputMessage="0" showErrorMessage="0" allowBlank="1" type="list">
      <formula1>"✅ Résolu,🔄 En cours,⏳ À faire,🚫 Abandonné"</formula1>
    </dataValidation>
    <dataValidation sqref="G12" showDropDown="0" showInputMessage="0" showErrorMessage="0" allowBlank="1" type="list">
      <formula1>"🔴 Critique,🟠 Majeure,🟡 Mineure,🟢 Cosmétique"</formula1>
    </dataValidation>
    <dataValidation sqref="F12" showDropDown="0" showInputMessage="0" showErrorMessage="0" allowBlank="1" type="list">
      <formula1>"P1 — Critique,P2 — Haute,P3 — Moyenne,P4 — Basse"</formula1>
    </dataValidation>
    <dataValidation sqref="H12" showDropDown="0" showInputMessage="0" showErrorMessage="0" allowBlank="1" type="list">
      <formula1>"✅ Résolu,🔄 En cours,⏳ À faire,🚫 Abandonné"</formula1>
    </dataValidation>
    <dataValidation sqref="G12" showDropDown="0" showInputMessage="0" showErrorMessage="0" allowBlank="1" type="list">
      <formula1>"🔴 Critique,🟠 Majeure,🟡 Mineure,🟢 Cosmétique"</formula1>
    </dataValidation>
    <dataValidation sqref="F12" showDropDown="0" showInputMessage="0" showErrorMessage="0" allowBlank="1" type="list">
      <formula1>"P1 — Critique,P2 — Haute,P3 — Moyenne,P4 — Basse"</formula1>
    </dataValidation>
    <dataValidation sqref="H12" showDropDown="0" showInputMessage="0" showErrorMessage="0" allowBlank="1" type="list">
      <formula1>"✅ Résolu,🔄 En cours,⏳ À faire,🚫 Abandonné"</formula1>
    </dataValidation>
    <dataValidation sqref="G12" showDropDown="0" showInputMessage="0" showErrorMessage="0" allowBlank="1" type="list">
      <formula1>"🔴 Critique,🟠 Majeure,🟡 Mineure,🟢 Cosmétique"</formula1>
    </dataValidation>
    <dataValidation sqref="F12" showDropDown="0" showInputMessage="0" showErrorMessage="0" allowBlank="1" type="list">
      <formula1>"P1 — Critique,P2 — Haute,P3 — Moyenne,P4 — Basse"</formula1>
    </dataValidation>
    <dataValidation sqref="H12" showDropDown="0" showInputMessage="0" showErrorMessage="0" allowBlank="1" type="list">
      <formula1>"✅ Résolu,🔄 En cours,⏳ À faire,🚫 Abandonné"</formula1>
    </dataValidation>
    <dataValidation sqref="G12" showDropDown="0" showInputMessage="0" showErrorMessage="0" allowBlank="1" type="list">
      <formula1>"🔴 Critique,🟠 Majeure,🟡 Mineure,🟢 Cosmétique"</formula1>
    </dataValidation>
    <dataValidation sqref="F12" showDropDown="0" showInputMessage="0" showErrorMessage="0" allowBlank="1" type="list">
      <formula1>"P1 — Critique,P2 — Haute,P3 — Moyenne,P4 — Basse"</formula1>
    </dataValidation>
    <dataValidation sqref="H12" showDropDown="0" showInputMessage="0" showErrorMessage="0" allowBlank="1" type="list">
      <formula1>"✅ Résolu,🔄 En cours,⏳ À faire,🚫 Abandonné"</formula1>
    </dataValidation>
    <dataValidation sqref="G12" showDropDown="0" showInputMessage="0" showErrorMessage="0" allowBlank="1" type="list">
      <formula1>"🔴 Critique,🟠 Majeure,🟡 Mineure,🟢 Cosmétique"</formula1>
    </dataValidation>
    <dataValidation sqref="F12" showDropDown="0" showInputMessage="0" showErrorMessage="0" allowBlank="1" type="list">
      <formula1>"P1 — Critique,P2 — Haute,P3 — Moyenne,P4 — Basse"</formula1>
    </dataValidation>
    <dataValidation sqref="H12" showDropDown="0" showInputMessage="0" showErrorMessage="0" allowBlank="1" type="list">
      <formula1>"✅ Résolu,🔄 En cours,⏳ À faire,🚫 Abandonné"</formula1>
    </dataValidation>
    <dataValidation sqref="G12" showDropDown="0" showInputMessage="0" showErrorMessage="0" allowBlank="1" type="list">
      <formula1>"🔴 Critique,🟠 Majeure,🟡 Mineure,🟢 Cosmétique"</formula1>
    </dataValidation>
    <dataValidation sqref="F12" showDropDown="0" showInputMessage="0" showErrorMessage="0" allowBlank="1" type="list">
      <formula1>"P1 — Critique,P2 — Haute,P3 — Moyenne,P4 — Basse"</formula1>
    </dataValidation>
    <dataValidation sqref="H12" showDropDown="0" showInputMessage="0" showErrorMessage="0" allowBlank="1" type="list">
      <formula1>"✅ Résolu,🔄 En cours,⏳ À faire,🚫 Abandonné"</formula1>
    </dataValidation>
    <dataValidation sqref="G12" showDropDown="0" showInputMessage="0" showErrorMessage="0" allowBlank="1" type="list">
      <formula1>"🔴 Critique,🟠 Majeure,🟡 Mineure,🟢 Cosmétique"</formula1>
    </dataValidation>
    <dataValidation sqref="F12" showDropDown="0" showInputMessage="0" showErrorMessage="0" allowBlank="1" type="list">
      <formula1>"P1 — Critique,P2 — Haute,P3 — Moyenne,P4 — Basse"</formula1>
    </dataValidation>
    <dataValidation sqref="H12" showDropDown="0" showInputMessage="0" showErrorMessage="0" allowBlank="1" type="list">
      <formula1>"✅ Résolu,🔄 En cours,⏳ À faire,🚫 Abandonné"</formula1>
    </dataValidation>
    <dataValidation sqref="G12" showDropDown="0" showInputMessage="0" showErrorMessage="0" allowBlank="1" type="list">
      <formula1>"🔴 Critique,🟠 Majeure,🟡 Mineure,🟢 Cosmétique"</formula1>
    </dataValidation>
    <dataValidation sqref="F12" showDropDown="0" showInputMessage="0" showErrorMessage="0" allowBlank="1" type="list">
      <formula1>"P1 — Critique,P2 — Haute,P3 — Moyenne,P4 — Basse"</formula1>
    </dataValidation>
    <dataValidation sqref="H12" showDropDown="0" showInputMessage="0" showErrorMessage="0" allowBlank="1" type="list">
      <formula1>"✅ Résolu,🔄 En cours,⏳ À faire,🚫 Abandonné"</formula1>
    </dataValidation>
    <dataValidation sqref="G12" showDropDown="0" showInputMessage="0" showErrorMessage="0" allowBlank="1" type="list">
      <formula1>"🔴 Critique,🟠 Majeure,🟡 Mineure,🟢 Cosmétique"</formula1>
    </dataValidation>
    <dataValidation sqref="F12" showDropDown="0" showInputMessage="0" showErrorMessage="0" allowBlank="1" type="list">
      <formula1>"P1 — Critique,P2 — Haute,P3 — Moyenne,P4 — Basse"</formula1>
    </dataValidation>
    <dataValidation sqref="H12" showDropDown="0" showInputMessage="0" showErrorMessage="0" allowBlank="1" type="list">
      <formula1>"✅ Résolu,🔄 En cours,⏳ À faire,🚫 Abandonné"</formula1>
    </dataValidation>
    <dataValidation sqref="G12" showDropDown="0" showInputMessage="0" showErrorMessage="0" allowBlank="1" type="list">
      <formula1>"🔴 Critique,🟠 Majeure,🟡 Mineure,🟢 Cosmétique"</formula1>
    </dataValidation>
    <dataValidation sqref="F12" showDropDown="0" showInputMessage="0" showErrorMessage="0" allowBlank="1" type="list">
      <formula1>"P1 — Critique,P2 — Haute,P3 — Moyenne,P4 — Basse"</formula1>
    </dataValidation>
    <dataValidation sqref="H13" showDropDown="0" showInputMessage="0" showErrorMessage="0" allowBlank="1" type="list">
      <formula1>"✅ Résolu,🔄 En cours,⏳ À faire,🚫 Abandonné"</formula1>
    </dataValidation>
    <dataValidation sqref="G13" showDropDown="0" showInputMessage="0" showErrorMessage="0" allowBlank="1" type="list">
      <formula1>"🔴 Critique,🟠 Majeure,🟡 Mineure,🟢 Cosmétique"</formula1>
    </dataValidation>
    <dataValidation sqref="F13" showDropDown="0" showInputMessage="0" showErrorMessage="0" allowBlank="1" type="list">
      <formula1>"P1 — Critique,P2 — Haute,P3 — Moyenne,P4 — Basse"</formula1>
    </dataValidation>
    <dataValidation sqref="H13" showDropDown="0" showInputMessage="0" showErrorMessage="0" allowBlank="1" type="list">
      <formula1>"✅ Résolu,🔄 En cours,⏳ À faire,🚫 Abandonné"</formula1>
    </dataValidation>
    <dataValidation sqref="G13" showDropDown="0" showInputMessage="0" showErrorMessage="0" allowBlank="1" type="list">
      <formula1>"🔴 Critique,🟠 Majeure,🟡 Mineure,🟢 Cosmétique"</formula1>
    </dataValidation>
    <dataValidation sqref="F13" showDropDown="0" showInputMessage="0" showErrorMessage="0" allowBlank="1" type="list">
      <formula1>"P1 — Critique,P2 — Haute,P3 — Moyenne,P4 — Basse"</formula1>
    </dataValidation>
    <dataValidation sqref="H13" showDropDown="0" showInputMessage="0" showErrorMessage="0" allowBlank="1" type="list">
      <formula1>"✅ Résolu,🔄 En cours,⏳ À faire,🚫 Abandonné"</formula1>
    </dataValidation>
    <dataValidation sqref="G13" showDropDown="0" showInputMessage="0" showErrorMessage="0" allowBlank="1" type="list">
      <formula1>"🔴 Critique,🟠 Majeure,🟡 Mineure,🟢 Cosmétique"</formula1>
    </dataValidation>
    <dataValidation sqref="F13" showDropDown="0" showInputMessage="0" showErrorMessage="0" allowBlank="1" type="list">
      <formula1>"P1 — Critique,P2 — Haute,P3 — Moyenne,P4 — Basse"</formula1>
    </dataValidation>
    <dataValidation sqref="H13" showDropDown="0" showInputMessage="0" showErrorMessage="0" allowBlank="1" type="list">
      <formula1>"✅ Résolu,🔄 En cours,⏳ À faire,🚫 Abandonné"</formula1>
    </dataValidation>
    <dataValidation sqref="G13" showDropDown="0" showInputMessage="0" showErrorMessage="0" allowBlank="1" type="list">
      <formula1>"🔴 Critique,🟠 Majeure,🟡 Mineure,🟢 Cosmétique"</formula1>
    </dataValidation>
    <dataValidation sqref="F13" showDropDown="0" showInputMessage="0" showErrorMessage="0" allowBlank="1" type="list">
      <formula1>"P1 — Critique,P2 — Haute,P3 — Moyenne,P4 — Basse"</formula1>
    </dataValidation>
    <dataValidation sqref="H13" showDropDown="0" showInputMessage="0" showErrorMessage="0" allowBlank="1" type="list">
      <formula1>"✅ Résolu,🔄 En cours,⏳ À faire,🚫 Abandonné"</formula1>
    </dataValidation>
    <dataValidation sqref="G13" showDropDown="0" showInputMessage="0" showErrorMessage="0" allowBlank="1" type="list">
      <formula1>"🔴 Critique,🟠 Majeure,🟡 Mineure,🟢 Cosmétique"</formula1>
    </dataValidation>
    <dataValidation sqref="F13" showDropDown="0" showInputMessage="0" showErrorMessage="0" allowBlank="1" type="list">
      <formula1>"P1 — Critique,P2 — Haute,P3 — Moyenne,P4 — Basse"</formula1>
    </dataValidation>
    <dataValidation sqref="H13" showDropDown="0" showInputMessage="0" showErrorMessage="0" allowBlank="1" type="list">
      <formula1>"✅ Résolu,🔄 En cours,⏳ À faire,🚫 Abandonné"</formula1>
    </dataValidation>
    <dataValidation sqref="G13" showDropDown="0" showInputMessage="0" showErrorMessage="0" allowBlank="1" type="list">
      <formula1>"🔴 Critique,🟠 Majeure,🟡 Mineure,🟢 Cosmétique"</formula1>
    </dataValidation>
    <dataValidation sqref="F13" showDropDown="0" showInputMessage="0" showErrorMessage="0" allowBlank="1" type="list">
      <formula1>"P1 — Critique,P2 — Haute,P3 — Moyenne,P4 — Basse"</formula1>
    </dataValidation>
    <dataValidation sqref="H13" showDropDown="0" showInputMessage="0" showErrorMessage="0" allowBlank="1" type="list">
      <formula1>"✅ Résolu,🔄 En cours,⏳ À faire,🚫 Abandonné"</formula1>
    </dataValidation>
    <dataValidation sqref="G13" showDropDown="0" showInputMessage="0" showErrorMessage="0" allowBlank="1" type="list">
      <formula1>"🔴 Critique,🟠 Majeure,🟡 Mineure,🟢 Cosmétique"</formula1>
    </dataValidation>
    <dataValidation sqref="F13" showDropDown="0" showInputMessage="0" showErrorMessage="0" allowBlank="1" type="list">
      <formula1>"P1 — Critique,P2 — Haute,P3 — Moyenne,P4 — Basse"</formula1>
    </dataValidation>
    <dataValidation sqref="H13" showDropDown="0" showInputMessage="0" showErrorMessage="0" allowBlank="1" type="list">
      <formula1>"✅ Résolu,🔄 En cours,⏳ À faire,🚫 Abandonné"</formula1>
    </dataValidation>
    <dataValidation sqref="G13" showDropDown="0" showInputMessage="0" showErrorMessage="0" allowBlank="1" type="list">
      <formula1>"🔴 Critique,🟠 Majeure,🟡 Mineure,🟢 Cosmétique"</formula1>
    </dataValidation>
    <dataValidation sqref="F13" showDropDown="0" showInputMessage="0" showErrorMessage="0" allowBlank="1" type="list">
      <formula1>"P1 — Critique,P2 — Haute,P3 — Moyenne,P4 — Basse"</formula1>
    </dataValidation>
    <dataValidation sqref="H13" showDropDown="0" showInputMessage="0" showErrorMessage="0" allowBlank="1" type="list">
      <formula1>"✅ Résolu,🔄 En cours,⏳ À faire,🚫 Abandonné"</formula1>
    </dataValidation>
    <dataValidation sqref="G13" showDropDown="0" showInputMessage="0" showErrorMessage="0" allowBlank="1" type="list">
      <formula1>"🔴 Critique,🟠 Majeure,🟡 Mineure,🟢 Cosmétique"</formula1>
    </dataValidation>
    <dataValidation sqref="F13" showDropDown="0" showInputMessage="0" showErrorMessage="0" allowBlank="1" type="list">
      <formula1>"P1 — Critique,P2 — Haute,P3 — Moyenne,P4 — Basse"</formula1>
    </dataValidation>
    <dataValidation sqref="H13" showDropDown="0" showInputMessage="0" showErrorMessage="0" allowBlank="1" type="list">
      <formula1>"✅ Résolu,🔄 En cours,⏳ À faire,🚫 Abandonné"</formula1>
    </dataValidation>
    <dataValidation sqref="G13" showDropDown="0" showInputMessage="0" showErrorMessage="0" allowBlank="1" type="list">
      <formula1>"🔴 Critique,🟠 Majeure,🟡 Mineure,🟢 Cosmétique"</formula1>
    </dataValidation>
    <dataValidation sqref="F13" showDropDown="0" showInputMessage="0" showErrorMessage="0" allowBlank="1" type="list">
      <formula1>"P1 — Critique,P2 — Haute,P3 — Moyenne,P4 — Basse"</formula1>
    </dataValidation>
    <dataValidation sqref="H13" showDropDown="0" showInputMessage="0" showErrorMessage="0" allowBlank="1" type="list">
      <formula1>"✅ Résolu,🔄 En cours,⏳ À faire,🚫 Abandonné"</formula1>
    </dataValidation>
    <dataValidation sqref="G13" showDropDown="0" showInputMessage="0" showErrorMessage="0" allowBlank="1" type="list">
      <formula1>"🔴 Critique,🟠 Majeure,🟡 Mineure,🟢 Cosmétique"</formula1>
    </dataValidation>
    <dataValidation sqref="F13" showDropDown="0" showInputMessage="0" showErrorMessage="0" allowBlank="1" type="list">
      <formula1>"P1 — Critique,P2 — Haute,P3 — Moyenne,P4 — Basse"</formula1>
    </dataValidation>
    <dataValidation sqref="H13" showDropDown="0" showInputMessage="0" showErrorMessage="0" allowBlank="1" type="list">
      <formula1>"✅ Résolu,🔄 En cours,⏳ À faire,🚫 Abandonné"</formula1>
    </dataValidation>
    <dataValidation sqref="G13" showDropDown="0" showInputMessage="0" showErrorMessage="0" allowBlank="1" type="list">
      <formula1>"🔴 Critique,🟠 Majeure,🟡 Mineure,🟢 Cosmétique"</formula1>
    </dataValidation>
    <dataValidation sqref="F13" showDropDown="0" showInputMessage="0" showErrorMessage="0" allowBlank="1" type="list">
      <formula1>"P1 — Critique,P2 — Haute,P3 — Moyenne,P4 — Basse"</formula1>
    </dataValidation>
    <dataValidation sqref="H14" showDropDown="0" showInputMessage="0" showErrorMessage="0" allowBlank="1" type="list">
      <formula1>"✅ Résolu,🔄 En cours,⏳ À faire,🚫 Abandonné"</formula1>
    </dataValidation>
    <dataValidation sqref="G14" showDropDown="0" showInputMessage="0" showErrorMessage="0" allowBlank="1" type="list">
      <formula1>"🔴 Critique,🟠 Majeure,🟡 Mineure,🟢 Cosmétique"</formula1>
    </dataValidation>
    <dataValidation sqref="F14" showDropDown="0" showInputMessage="0" showErrorMessage="0" allowBlank="1" type="list">
      <formula1>"P1 — Critique,P2 — Haute,P3 — Moyenne,P4 — Basse"</formula1>
    </dataValidation>
    <dataValidation sqref="H14" showDropDown="0" showInputMessage="0" showErrorMessage="0" allowBlank="1" type="list">
      <formula1>"✅ Résolu,🔄 En cours,⏳ À faire,🚫 Abandonné"</formula1>
    </dataValidation>
    <dataValidation sqref="G14" showDropDown="0" showInputMessage="0" showErrorMessage="0" allowBlank="1" type="list">
      <formula1>"🔴 Critique,🟠 Majeure,🟡 Mineure,🟢 Cosmétique"</formula1>
    </dataValidation>
    <dataValidation sqref="F14" showDropDown="0" showInputMessage="0" showErrorMessage="0" allowBlank="1" type="list">
      <formula1>"P1 — Critique,P2 — Haute,P3 — Moyenne,P4 — Basse"</formula1>
    </dataValidation>
    <dataValidation sqref="H14" showDropDown="0" showInputMessage="0" showErrorMessage="0" allowBlank="1" type="list">
      <formula1>"✅ Résolu,🔄 En cours,⏳ À faire,🚫 Abandonné"</formula1>
    </dataValidation>
    <dataValidation sqref="G14" showDropDown="0" showInputMessage="0" showErrorMessage="0" allowBlank="1" type="list">
      <formula1>"🔴 Critique,🟠 Majeure,🟡 Mineure,🟢 Cosmétique"</formula1>
    </dataValidation>
    <dataValidation sqref="F14" showDropDown="0" showInputMessage="0" showErrorMessage="0" allowBlank="1" type="list">
      <formula1>"P1 — Critique,P2 — Haute,P3 — Moyenne,P4 — Basse"</formula1>
    </dataValidation>
    <dataValidation sqref="H14" showDropDown="0" showInputMessage="0" showErrorMessage="0" allowBlank="1" type="list">
      <formula1>"✅ Résolu,🔄 En cours,⏳ À faire,🚫 Abandonné"</formula1>
    </dataValidation>
    <dataValidation sqref="G14" showDropDown="0" showInputMessage="0" showErrorMessage="0" allowBlank="1" type="list">
      <formula1>"🔴 Critique,🟠 Majeure,🟡 Mineure,🟢 Cosmétique"</formula1>
    </dataValidation>
    <dataValidation sqref="F14" showDropDown="0" showInputMessage="0" showErrorMessage="0" allowBlank="1" type="list">
      <formula1>"P1 — Critique,P2 — Haute,P3 — Moyenne,P4 — Basse"</formula1>
    </dataValidation>
    <dataValidation sqref="H14" showDropDown="0" showInputMessage="0" showErrorMessage="0" allowBlank="1" type="list">
      <formula1>"✅ Résolu,🔄 En cours,⏳ À faire,🚫 Abandonné"</formula1>
    </dataValidation>
    <dataValidation sqref="G14" showDropDown="0" showInputMessage="0" showErrorMessage="0" allowBlank="1" type="list">
      <formula1>"🔴 Critique,🟠 Majeure,🟡 Mineure,🟢 Cosmétique"</formula1>
    </dataValidation>
    <dataValidation sqref="F14" showDropDown="0" showInputMessage="0" showErrorMessage="0" allowBlank="1" type="list">
      <formula1>"P1 — Critique,P2 — Haute,P3 — Moyenne,P4 — Basse"</formula1>
    </dataValidation>
    <dataValidation sqref="H14" showDropDown="0" showInputMessage="0" showErrorMessage="0" allowBlank="1" type="list">
      <formula1>"✅ Résolu,🔄 En cours,⏳ À faire,🚫 Abandonné"</formula1>
    </dataValidation>
    <dataValidation sqref="G14" showDropDown="0" showInputMessage="0" showErrorMessage="0" allowBlank="1" type="list">
      <formula1>"🔴 Critique,🟠 Majeure,🟡 Mineure,🟢 Cosmétique"</formula1>
    </dataValidation>
    <dataValidation sqref="F14" showDropDown="0" showInputMessage="0" showErrorMessage="0" allowBlank="1" type="list">
      <formula1>"P1 — Critique,P2 — Haute,P3 — Moyenne,P4 — Basse"</formula1>
    </dataValidation>
    <dataValidation sqref="H14" showDropDown="0" showInputMessage="0" showErrorMessage="0" allowBlank="1" type="list">
      <formula1>"✅ Résolu,🔄 En cours,⏳ À faire,🚫 Abandonné"</formula1>
    </dataValidation>
    <dataValidation sqref="G14" showDropDown="0" showInputMessage="0" showErrorMessage="0" allowBlank="1" type="list">
      <formula1>"🔴 Critique,🟠 Majeure,🟡 Mineure,🟢 Cosmétique"</formula1>
    </dataValidation>
    <dataValidation sqref="F14" showDropDown="0" showInputMessage="0" showErrorMessage="0" allowBlank="1" type="list">
      <formula1>"P1 — Critique,P2 — Haute,P3 — Moyenne,P4 — Basse"</formula1>
    </dataValidation>
    <dataValidation sqref="H14" showDropDown="0" showInputMessage="0" showErrorMessage="0" allowBlank="1" type="list">
      <formula1>"✅ Résolu,🔄 En cours,⏳ À faire,🚫 Abandonné"</formula1>
    </dataValidation>
    <dataValidation sqref="G14" showDropDown="0" showInputMessage="0" showErrorMessage="0" allowBlank="1" type="list">
      <formula1>"🔴 Critique,🟠 Majeure,🟡 Mineure,🟢 Cosmétique"</formula1>
    </dataValidation>
    <dataValidation sqref="F14" showDropDown="0" showInputMessage="0" showErrorMessage="0" allowBlank="1" type="list">
      <formula1>"P1 — Critique,P2 — Haute,P3 — Moyenne,P4 — Basse"</formula1>
    </dataValidation>
    <dataValidation sqref="H14" showDropDown="0" showInputMessage="0" showErrorMessage="0" allowBlank="1" type="list">
      <formula1>"✅ Résolu,🔄 En cours,⏳ À faire,🚫 Abandonné"</formula1>
    </dataValidation>
    <dataValidation sqref="G14" showDropDown="0" showInputMessage="0" showErrorMessage="0" allowBlank="1" type="list">
      <formula1>"🔴 Critique,🟠 Majeure,🟡 Mineure,🟢 Cosmétique"</formula1>
    </dataValidation>
    <dataValidation sqref="F14" showDropDown="0" showInputMessage="0" showErrorMessage="0" allowBlank="1" type="list">
      <formula1>"P1 — Critique,P2 — Haute,P3 — Moyenne,P4 — Basse"</formula1>
    </dataValidation>
    <dataValidation sqref="H14" showDropDown="0" showInputMessage="0" showErrorMessage="0" allowBlank="1" type="list">
      <formula1>"✅ Résolu,🔄 En cours,⏳ À faire,🚫 Abandonné"</formula1>
    </dataValidation>
    <dataValidation sqref="G14" showDropDown="0" showInputMessage="0" showErrorMessage="0" allowBlank="1" type="list">
      <formula1>"🔴 Critique,🟠 Majeure,🟡 Mineure,🟢 Cosmétique"</formula1>
    </dataValidation>
    <dataValidation sqref="F14" showDropDown="0" showInputMessage="0" showErrorMessage="0" allowBlank="1" type="list">
      <formula1>"P1 — Critique,P2 — Haute,P3 — Moyenne,P4 — Basse"</formula1>
    </dataValidation>
    <dataValidation sqref="H14" showDropDown="0" showInputMessage="0" showErrorMessage="0" allowBlank="1" type="list">
      <formula1>"✅ Résolu,🔄 En cours,⏳ À faire,🚫 Abandonné"</formula1>
    </dataValidation>
    <dataValidation sqref="G14" showDropDown="0" showInputMessage="0" showErrorMessage="0" allowBlank="1" type="list">
      <formula1>"🔴 Critique,🟠 Majeure,🟡 Mineure,🟢 Cosmétique"</formula1>
    </dataValidation>
    <dataValidation sqref="F14" showDropDown="0" showInputMessage="0" showErrorMessage="0" allowBlank="1" type="list">
      <formula1>"P1 — Critique,P2 — Haute,P3 — Moyenne,P4 — Basse"</formula1>
    </dataValidation>
    <dataValidation sqref="H14" showDropDown="0" showInputMessage="0" showErrorMessage="0" allowBlank="1" type="list">
      <formula1>"✅ Résolu,🔄 En cours,⏳ À faire,🚫 Abandonné"</formula1>
    </dataValidation>
    <dataValidation sqref="G14" showDropDown="0" showInputMessage="0" showErrorMessage="0" allowBlank="1" type="list">
      <formula1>"🔴 Critique,🟠 Majeure,🟡 Mineure,🟢 Cosmétique"</formula1>
    </dataValidation>
    <dataValidation sqref="F14" showDropDown="0" showInputMessage="0" showErrorMessage="0" allowBlank="1" type="list">
      <formula1>"P1 — Critique,P2 — Haute,P3 — Moyenne,P4 — Basse"</formula1>
    </dataValidation>
    <dataValidation sqref="H15" showDropDown="0" showInputMessage="0" showErrorMessage="0" allowBlank="1" type="list">
      <formula1>"✅ Résolu,🔄 En cours,⏳ À faire,🚫 Abandonné"</formula1>
    </dataValidation>
    <dataValidation sqref="G15" showDropDown="0" showInputMessage="0" showErrorMessage="0" allowBlank="1" type="list">
      <formula1>"🔴 Critique,🟠 Majeure,🟡 Mineure,🟢 Cosmétique"</formula1>
    </dataValidation>
    <dataValidation sqref="F15" showDropDown="0" showInputMessage="0" showErrorMessage="0" allowBlank="1" type="list">
      <formula1>"P1 — Critique,P2 — Haute,P3 — Moyenne,P4 — Basse"</formula1>
    </dataValidation>
    <dataValidation sqref="H15" showDropDown="0" showInputMessage="0" showErrorMessage="0" allowBlank="1" type="list">
      <formula1>"✅ Résolu,🔄 En cours,⏳ À faire,🚫 Abandonné"</formula1>
    </dataValidation>
    <dataValidation sqref="G15" showDropDown="0" showInputMessage="0" showErrorMessage="0" allowBlank="1" type="list">
      <formula1>"🔴 Critique,🟠 Majeure,🟡 Mineure,🟢 Cosmétique"</formula1>
    </dataValidation>
    <dataValidation sqref="F15" showDropDown="0" showInputMessage="0" showErrorMessage="0" allowBlank="1" type="list">
      <formula1>"P1 — Critique,P2 — Haute,P3 — Moyenne,P4 — Basse"</formula1>
    </dataValidation>
    <dataValidation sqref="H15" showDropDown="0" showInputMessage="0" showErrorMessage="0" allowBlank="1" type="list">
      <formula1>"✅ Résolu,🔄 En cours,⏳ À faire,🚫 Abandonné"</formula1>
    </dataValidation>
    <dataValidation sqref="G15" showDropDown="0" showInputMessage="0" showErrorMessage="0" allowBlank="1" type="list">
      <formula1>"🔴 Critique,🟠 Majeure,🟡 Mineure,🟢 Cosmétique"</formula1>
    </dataValidation>
    <dataValidation sqref="F15" showDropDown="0" showInputMessage="0" showErrorMessage="0" allowBlank="1" type="list">
      <formula1>"P1 — Critique,P2 — Haute,P3 — Moyenne,P4 — Basse"</formula1>
    </dataValidation>
    <dataValidation sqref="H15" showDropDown="0" showInputMessage="0" showErrorMessage="0" allowBlank="1" type="list">
      <formula1>"✅ Résolu,🔄 En cours,⏳ À faire,🚫 Abandonné"</formula1>
    </dataValidation>
    <dataValidation sqref="G15" showDropDown="0" showInputMessage="0" showErrorMessage="0" allowBlank="1" type="list">
      <formula1>"🔴 Critique,🟠 Majeure,🟡 Mineure,🟢 Cosmétique"</formula1>
    </dataValidation>
    <dataValidation sqref="F15" showDropDown="0" showInputMessage="0" showErrorMessage="0" allowBlank="1" type="list">
      <formula1>"P1 — Critique,P2 — Haute,P3 — Moyenne,P4 — Basse"</formula1>
    </dataValidation>
    <dataValidation sqref="H15" showDropDown="0" showInputMessage="0" showErrorMessage="0" allowBlank="1" type="list">
      <formula1>"✅ Résolu,🔄 En cours,⏳ À faire,🚫 Abandonné"</formula1>
    </dataValidation>
    <dataValidation sqref="G15" showDropDown="0" showInputMessage="0" showErrorMessage="0" allowBlank="1" type="list">
      <formula1>"🔴 Critique,🟠 Majeure,🟡 Mineure,🟢 Cosmétique"</formula1>
    </dataValidation>
    <dataValidation sqref="F15" showDropDown="0" showInputMessage="0" showErrorMessage="0" allowBlank="1" type="list">
      <formula1>"P1 — Critique,P2 — Haute,P3 — Moyenne,P4 — Basse"</formula1>
    </dataValidation>
    <dataValidation sqref="H15" showDropDown="0" showInputMessage="0" showErrorMessage="0" allowBlank="1" type="list">
      <formula1>"✅ Résolu,🔄 En cours,⏳ À faire,🚫 Abandonné"</formula1>
    </dataValidation>
    <dataValidation sqref="G15" showDropDown="0" showInputMessage="0" showErrorMessage="0" allowBlank="1" type="list">
      <formula1>"🔴 Critique,🟠 Majeure,🟡 Mineure,🟢 Cosmétique"</formula1>
    </dataValidation>
    <dataValidation sqref="F15" showDropDown="0" showInputMessage="0" showErrorMessage="0" allowBlank="1" type="list">
      <formula1>"P1 — Critique,P2 — Haute,P3 — Moyenne,P4 — Basse"</formula1>
    </dataValidation>
    <dataValidation sqref="H15" showDropDown="0" showInputMessage="0" showErrorMessage="0" allowBlank="1" type="list">
      <formula1>"✅ Résolu,🔄 En cours,⏳ À faire,🚫 Abandonné"</formula1>
    </dataValidation>
    <dataValidation sqref="G15" showDropDown="0" showInputMessage="0" showErrorMessage="0" allowBlank="1" type="list">
      <formula1>"🔴 Critique,🟠 Majeure,🟡 Mineure,🟢 Cosmétique"</formula1>
    </dataValidation>
    <dataValidation sqref="F15" showDropDown="0" showInputMessage="0" showErrorMessage="0" allowBlank="1" type="list">
      <formula1>"P1 — Critique,P2 — Haute,P3 — Moyenne,P4 — Basse"</formula1>
    </dataValidation>
    <dataValidation sqref="H15" showDropDown="0" showInputMessage="0" showErrorMessage="0" allowBlank="1" type="list">
      <formula1>"✅ Résolu,🔄 En cours,⏳ À faire,🚫 Abandonné"</formula1>
    </dataValidation>
    <dataValidation sqref="G15" showDropDown="0" showInputMessage="0" showErrorMessage="0" allowBlank="1" type="list">
      <formula1>"🔴 Critique,🟠 Majeure,🟡 Mineure,🟢 Cosmétique"</formula1>
    </dataValidation>
    <dataValidation sqref="F15" showDropDown="0" showInputMessage="0" showErrorMessage="0" allowBlank="1" type="list">
      <formula1>"P1 — Critique,P2 — Haute,P3 — Moyenne,P4 — Basse"</formula1>
    </dataValidation>
    <dataValidation sqref="H15" showDropDown="0" showInputMessage="0" showErrorMessage="0" allowBlank="1" type="list">
      <formula1>"✅ Résolu,🔄 En cours,⏳ À faire,🚫 Abandonné"</formula1>
    </dataValidation>
    <dataValidation sqref="G15" showDropDown="0" showInputMessage="0" showErrorMessage="0" allowBlank="1" type="list">
      <formula1>"🔴 Critique,🟠 Majeure,🟡 Mineure,🟢 Cosmétique"</formula1>
    </dataValidation>
    <dataValidation sqref="F15" showDropDown="0" showInputMessage="0" showErrorMessage="0" allowBlank="1" type="list">
      <formula1>"P1 — Critique,P2 — Haute,P3 — Moyenne,P4 — Basse"</formula1>
    </dataValidation>
    <dataValidation sqref="H15" showDropDown="0" showInputMessage="0" showErrorMessage="0" allowBlank="1" type="list">
      <formula1>"✅ Résolu,🔄 En cours,⏳ À faire,🚫 Abandonné"</formula1>
    </dataValidation>
    <dataValidation sqref="G15" showDropDown="0" showInputMessage="0" showErrorMessage="0" allowBlank="1" type="list">
      <formula1>"🔴 Critique,🟠 Majeure,🟡 Mineure,🟢 Cosmétique"</formula1>
    </dataValidation>
    <dataValidation sqref="F15" showDropDown="0" showInputMessage="0" showErrorMessage="0" allowBlank="1" type="list">
      <formula1>"P1 — Critique,P2 — Haute,P3 — Moyenne,P4 — Basse"</formula1>
    </dataValidation>
    <dataValidation sqref="H15" showDropDown="0" showInputMessage="0" showErrorMessage="0" allowBlank="1" type="list">
      <formula1>"✅ Résolu,🔄 En cours,⏳ À faire,🚫 Abandonné"</formula1>
    </dataValidation>
    <dataValidation sqref="G15" showDropDown="0" showInputMessage="0" showErrorMessage="0" allowBlank="1" type="list">
      <formula1>"🔴 Critique,🟠 Majeure,🟡 Mineure,🟢 Cosmétique"</formula1>
    </dataValidation>
    <dataValidation sqref="F15" showDropDown="0" showInputMessage="0" showErrorMessage="0" allowBlank="1" type="list">
      <formula1>"P1 — Critique,P2 — Haute,P3 — Moyenne,P4 — Basse"</formula1>
    </dataValidation>
    <dataValidation sqref="H15" showDropDown="0" showInputMessage="0" showErrorMessage="0" allowBlank="1" type="list">
      <formula1>"✅ Résolu,🔄 En cours,⏳ À faire,🚫 Abandonné"</formula1>
    </dataValidation>
    <dataValidation sqref="G15" showDropDown="0" showInputMessage="0" showErrorMessage="0" allowBlank="1" type="list">
      <formula1>"🔴 Critique,🟠 Majeure,🟡 Mineure,🟢 Cosmétique"</formula1>
    </dataValidation>
    <dataValidation sqref="F15" showDropDown="0" showInputMessage="0" showErrorMessage="0" allowBlank="1" type="list">
      <formula1>"P1 — Critique,P2 — Haute,P3 — Moyenne,P4 — Basse"</formula1>
    </dataValidation>
    <dataValidation sqref="H16" showDropDown="0" showInputMessage="0" showErrorMessage="0" allowBlank="1" type="list">
      <formula1>"✅ Résolu,🔄 En cours,⏳ À faire,🚫 Abandonné"</formula1>
    </dataValidation>
    <dataValidation sqref="G16" showDropDown="0" showInputMessage="0" showErrorMessage="0" allowBlank="1" type="list">
      <formula1>"🔴 Critique,🟠 Majeure,🟡 Mineure,🟢 Cosmétique"</formula1>
    </dataValidation>
    <dataValidation sqref="F16" showDropDown="0" showInputMessage="0" showErrorMessage="0" allowBlank="1" type="list">
      <formula1>"P1 — Critique,P2 — Haute,P3 — Moyenne,P4 — Basse"</formula1>
    </dataValidation>
    <dataValidation sqref="H16" showDropDown="0" showInputMessage="0" showErrorMessage="0" allowBlank="1" type="list">
      <formula1>"✅ Résolu,🔄 En cours,⏳ À faire,🚫 Abandonné"</formula1>
    </dataValidation>
    <dataValidation sqref="G16" showDropDown="0" showInputMessage="0" showErrorMessage="0" allowBlank="1" type="list">
      <formula1>"🔴 Critique,🟠 Majeure,🟡 Mineure,🟢 Cosmétique"</formula1>
    </dataValidation>
    <dataValidation sqref="F16" showDropDown="0" showInputMessage="0" showErrorMessage="0" allowBlank="1" type="list">
      <formula1>"P1 — Critique,P2 — Haute,P3 — Moyenne,P4 — Basse"</formula1>
    </dataValidation>
    <dataValidation sqref="H16" showDropDown="0" showInputMessage="0" showErrorMessage="0" allowBlank="1" type="list">
      <formula1>"✅ Résolu,🔄 En cours,⏳ À faire,🚫 Abandonné"</formula1>
    </dataValidation>
    <dataValidation sqref="G16" showDropDown="0" showInputMessage="0" showErrorMessage="0" allowBlank="1" type="list">
      <formula1>"🔴 Critique,🟠 Majeure,🟡 Mineure,🟢 Cosmétique"</formula1>
    </dataValidation>
    <dataValidation sqref="F16" showDropDown="0" showInputMessage="0" showErrorMessage="0" allowBlank="1" type="list">
      <formula1>"P1 — Critique,P2 — Haute,P3 — Moyenne,P4 — Basse"</formula1>
    </dataValidation>
    <dataValidation sqref="H16" showDropDown="0" showInputMessage="0" showErrorMessage="0" allowBlank="1" type="list">
      <formula1>"✅ Résolu,🔄 En cours,⏳ À faire,🚫 Abandonné"</formula1>
    </dataValidation>
    <dataValidation sqref="G16" showDropDown="0" showInputMessage="0" showErrorMessage="0" allowBlank="1" type="list">
      <formula1>"🔴 Critique,🟠 Majeure,🟡 Mineure,🟢 Cosmétique"</formula1>
    </dataValidation>
    <dataValidation sqref="F16" showDropDown="0" showInputMessage="0" showErrorMessage="0" allowBlank="1" type="list">
      <formula1>"P1 — Critique,P2 — Haute,P3 — Moyenne,P4 — Basse"</formula1>
    </dataValidation>
    <dataValidation sqref="H16" showDropDown="0" showInputMessage="0" showErrorMessage="0" allowBlank="1" type="list">
      <formula1>"✅ Résolu,🔄 En cours,⏳ À faire,🚫 Abandonné"</formula1>
    </dataValidation>
    <dataValidation sqref="G16" showDropDown="0" showInputMessage="0" showErrorMessage="0" allowBlank="1" type="list">
      <formula1>"🔴 Critique,🟠 Majeure,🟡 Mineure,🟢 Cosmétique"</formula1>
    </dataValidation>
    <dataValidation sqref="F16" showDropDown="0" showInputMessage="0" showErrorMessage="0" allowBlank="1" type="list">
      <formula1>"P1 — Critique,P2 — Haute,P3 — Moyenne,P4 — Basse"</formula1>
    </dataValidation>
    <dataValidation sqref="H16" showDropDown="0" showInputMessage="0" showErrorMessage="0" allowBlank="1" type="list">
      <formula1>"✅ Résolu,🔄 En cours,⏳ À faire,🚫 Abandonné"</formula1>
    </dataValidation>
    <dataValidation sqref="G16" showDropDown="0" showInputMessage="0" showErrorMessage="0" allowBlank="1" type="list">
      <formula1>"🔴 Critique,🟠 Majeure,🟡 Mineure,🟢 Cosmétique"</formula1>
    </dataValidation>
    <dataValidation sqref="F16" showDropDown="0" showInputMessage="0" showErrorMessage="0" allowBlank="1" type="list">
      <formula1>"P1 — Critique,P2 — Haute,P3 — Moyenne,P4 — Basse"</formula1>
    </dataValidation>
    <dataValidation sqref="H16" showDropDown="0" showInputMessage="0" showErrorMessage="0" allowBlank="1" type="list">
      <formula1>"✅ Résolu,🔄 En cours,⏳ À faire,🚫 Abandonné"</formula1>
    </dataValidation>
    <dataValidation sqref="G16" showDropDown="0" showInputMessage="0" showErrorMessage="0" allowBlank="1" type="list">
      <formula1>"🔴 Critique,🟠 Majeure,🟡 Mineure,🟢 Cosmétique"</formula1>
    </dataValidation>
    <dataValidation sqref="F16" showDropDown="0" showInputMessage="0" showErrorMessage="0" allowBlank="1" type="list">
      <formula1>"P1 — Critique,P2 — Haute,P3 — Moyenne,P4 — Basse"</formula1>
    </dataValidation>
    <dataValidation sqref="H16" showDropDown="0" showInputMessage="0" showErrorMessage="0" allowBlank="1" type="list">
      <formula1>"✅ Résolu,🔄 En cours,⏳ À faire,🚫 Abandonné"</formula1>
    </dataValidation>
    <dataValidation sqref="G16" showDropDown="0" showInputMessage="0" showErrorMessage="0" allowBlank="1" type="list">
      <formula1>"🔴 Critique,🟠 Majeure,🟡 Mineure,🟢 Cosmétique"</formula1>
    </dataValidation>
    <dataValidation sqref="F16" showDropDown="0" showInputMessage="0" showErrorMessage="0" allowBlank="1" type="list">
      <formula1>"P1 — Critique,P2 — Haute,P3 — Moyenne,P4 — Basse"</formula1>
    </dataValidation>
    <dataValidation sqref="H16" showDropDown="0" showInputMessage="0" showErrorMessage="0" allowBlank="1" type="list">
      <formula1>"✅ Résolu,🔄 En cours,⏳ À faire,🚫 Abandonné"</formula1>
    </dataValidation>
    <dataValidation sqref="G16" showDropDown="0" showInputMessage="0" showErrorMessage="0" allowBlank="1" type="list">
      <formula1>"🔴 Critique,🟠 Majeure,🟡 Mineure,🟢 Cosmétique"</formula1>
    </dataValidation>
    <dataValidation sqref="F16" showDropDown="0" showInputMessage="0" showErrorMessage="0" allowBlank="1" type="list">
      <formula1>"P1 — Critique,P2 — Haute,P3 — Moyenne,P4 — Basse"</formula1>
    </dataValidation>
    <dataValidation sqref="H16" showDropDown="0" showInputMessage="0" showErrorMessage="0" allowBlank="1" type="list">
      <formula1>"✅ Résolu,🔄 En cours,⏳ À faire,🚫 Abandonné"</formula1>
    </dataValidation>
    <dataValidation sqref="G16" showDropDown="0" showInputMessage="0" showErrorMessage="0" allowBlank="1" type="list">
      <formula1>"🔴 Critique,🟠 Majeure,🟡 Mineure,🟢 Cosmétique"</formula1>
    </dataValidation>
    <dataValidation sqref="F16" showDropDown="0" showInputMessage="0" showErrorMessage="0" allowBlank="1" type="list">
      <formula1>"P1 — Critique,P2 — Haute,P3 — Moyenne,P4 — Basse"</formula1>
    </dataValidation>
    <dataValidation sqref="H16" showDropDown="0" showInputMessage="0" showErrorMessage="0" allowBlank="1" type="list">
      <formula1>"✅ Résolu,🔄 En cours,⏳ À faire,🚫 Abandonné"</formula1>
    </dataValidation>
    <dataValidation sqref="G16" showDropDown="0" showInputMessage="0" showErrorMessage="0" allowBlank="1" type="list">
      <formula1>"🔴 Critique,🟠 Majeure,🟡 Mineure,🟢 Cosmétique"</formula1>
    </dataValidation>
    <dataValidation sqref="F16" showDropDown="0" showInputMessage="0" showErrorMessage="0" allowBlank="1" type="list">
      <formula1>"P1 — Critique,P2 — Haute,P3 — Moyenne,P4 — Basse"</formula1>
    </dataValidation>
    <dataValidation sqref="H16" showDropDown="0" showInputMessage="0" showErrorMessage="0" allowBlank="1" type="list">
      <formula1>"✅ Résolu,🔄 En cours,⏳ À faire,🚫 Abandonné"</formula1>
    </dataValidation>
    <dataValidation sqref="G16" showDropDown="0" showInputMessage="0" showErrorMessage="0" allowBlank="1" type="list">
      <formula1>"🔴 Critique,🟠 Majeure,🟡 Mineure,🟢 Cosmétique"</formula1>
    </dataValidation>
    <dataValidation sqref="F16" showDropDown="0" showInputMessage="0" showErrorMessage="0" allowBlank="1" type="list">
      <formula1>"P1 — Critique,P2 — Haute,P3 — Moyenne,P4 — Basse"</formula1>
    </dataValidation>
    <dataValidation sqref="H17" showDropDown="0" showInputMessage="0" showErrorMessage="0" allowBlank="1" type="list">
      <formula1>"✅ Résolu,🔄 En cours,⏳ À faire,🚫 Abandonné"</formula1>
    </dataValidation>
    <dataValidation sqref="G17" showDropDown="0" showInputMessage="0" showErrorMessage="0" allowBlank="1" type="list">
      <formula1>"🔴 Critique,🟠 Majeure,🟡 Mineure,🟢 Cosmétique"</formula1>
    </dataValidation>
    <dataValidation sqref="F17" showDropDown="0" showInputMessage="0" showErrorMessage="0" allowBlank="1" type="list">
      <formula1>"P1 — Critique,P2 — Haute,P3 — Moyenne,P4 — Basse"</formula1>
    </dataValidation>
    <dataValidation sqref="H17" showDropDown="0" showInputMessage="0" showErrorMessage="0" allowBlank="1" type="list">
      <formula1>"✅ Résolu,🔄 En cours,⏳ À faire,🚫 Abandonné"</formula1>
    </dataValidation>
    <dataValidation sqref="G17" showDropDown="0" showInputMessage="0" showErrorMessage="0" allowBlank="1" type="list">
      <formula1>"🔴 Critique,🟠 Majeure,🟡 Mineure,🟢 Cosmétique"</formula1>
    </dataValidation>
    <dataValidation sqref="F17" showDropDown="0" showInputMessage="0" showErrorMessage="0" allowBlank="1" type="list">
      <formula1>"P1 — Critique,P2 — Haute,P3 — Moyenne,P4 — Basse"</formula1>
    </dataValidation>
    <dataValidation sqref="H17" showDropDown="0" showInputMessage="0" showErrorMessage="0" allowBlank="1" type="list">
      <formula1>"✅ Résolu,🔄 En cours,⏳ À faire,🚫 Abandonné"</formula1>
    </dataValidation>
    <dataValidation sqref="G17" showDropDown="0" showInputMessage="0" showErrorMessage="0" allowBlank="1" type="list">
      <formula1>"🔴 Critique,🟠 Majeure,🟡 Mineure,🟢 Cosmétique"</formula1>
    </dataValidation>
    <dataValidation sqref="F17" showDropDown="0" showInputMessage="0" showErrorMessage="0" allowBlank="1" type="list">
      <formula1>"P1 — Critique,P2 — Haute,P3 — Moyenne,P4 — Basse"</formula1>
    </dataValidation>
    <dataValidation sqref="H17" showDropDown="0" showInputMessage="0" showErrorMessage="0" allowBlank="1" type="list">
      <formula1>"✅ Résolu,🔄 En cours,⏳ À faire,🚫 Abandonné"</formula1>
    </dataValidation>
    <dataValidation sqref="G17" showDropDown="0" showInputMessage="0" showErrorMessage="0" allowBlank="1" type="list">
      <formula1>"🔴 Critique,🟠 Majeure,🟡 Mineure,🟢 Cosmétique"</formula1>
    </dataValidation>
    <dataValidation sqref="F17" showDropDown="0" showInputMessage="0" showErrorMessage="0" allowBlank="1" type="list">
      <formula1>"P1 — Critique,P2 — Haute,P3 — Moyenne,P4 — Basse"</formula1>
    </dataValidation>
    <dataValidation sqref="H17" showDropDown="0" showInputMessage="0" showErrorMessage="0" allowBlank="1" type="list">
      <formula1>"✅ Résolu,🔄 En cours,⏳ À faire,🚫 Abandonné"</formula1>
    </dataValidation>
    <dataValidation sqref="G17" showDropDown="0" showInputMessage="0" showErrorMessage="0" allowBlank="1" type="list">
      <formula1>"🔴 Critique,🟠 Majeure,🟡 Mineure,🟢 Cosmétique"</formula1>
    </dataValidation>
    <dataValidation sqref="F17" showDropDown="0" showInputMessage="0" showErrorMessage="0" allowBlank="1" type="list">
      <formula1>"P1 — Critique,P2 — Haute,P3 — Moyenne,P4 — Basse"</formula1>
    </dataValidation>
    <dataValidation sqref="H17" showDropDown="0" showInputMessage="0" showErrorMessage="0" allowBlank="1" type="list">
      <formula1>"✅ Résolu,🔄 En cours,⏳ À faire,🚫 Abandonné"</formula1>
    </dataValidation>
    <dataValidation sqref="G17" showDropDown="0" showInputMessage="0" showErrorMessage="0" allowBlank="1" type="list">
      <formula1>"🔴 Critique,🟠 Majeure,🟡 Mineure,🟢 Cosmétique"</formula1>
    </dataValidation>
    <dataValidation sqref="F17" showDropDown="0" showInputMessage="0" showErrorMessage="0" allowBlank="1" type="list">
      <formula1>"P1 — Critique,P2 — Haute,P3 — Moyenne,P4 — Basse"</formula1>
    </dataValidation>
    <dataValidation sqref="H17" showDropDown="0" showInputMessage="0" showErrorMessage="0" allowBlank="1" type="list">
      <formula1>"✅ Résolu,🔄 En cours,⏳ À faire,🚫 Abandonné"</formula1>
    </dataValidation>
    <dataValidation sqref="G17" showDropDown="0" showInputMessage="0" showErrorMessage="0" allowBlank="1" type="list">
      <formula1>"🔴 Critique,🟠 Majeure,🟡 Mineure,🟢 Cosmétique"</formula1>
    </dataValidation>
    <dataValidation sqref="F17" showDropDown="0" showInputMessage="0" showErrorMessage="0" allowBlank="1" type="list">
      <formula1>"P1 — Critique,P2 — Haute,P3 — Moyenne,P4 — Basse"</formula1>
    </dataValidation>
    <dataValidation sqref="H17" showDropDown="0" showInputMessage="0" showErrorMessage="0" allowBlank="1" type="list">
      <formula1>"✅ Résolu,🔄 En cours,⏳ À faire,🚫 Abandonné"</formula1>
    </dataValidation>
    <dataValidation sqref="G17" showDropDown="0" showInputMessage="0" showErrorMessage="0" allowBlank="1" type="list">
      <formula1>"🔴 Critique,🟠 Majeure,🟡 Mineure,🟢 Cosmétique"</formula1>
    </dataValidation>
    <dataValidation sqref="F17" showDropDown="0" showInputMessage="0" showErrorMessage="0" allowBlank="1" type="list">
      <formula1>"P1 — Critique,P2 — Haute,P3 — Moyenne,P4 — Basse"</formula1>
    </dataValidation>
    <dataValidation sqref="H17" showDropDown="0" showInputMessage="0" showErrorMessage="0" allowBlank="1" type="list">
      <formula1>"✅ Résolu,🔄 En cours,⏳ À faire,🚫 Abandonné"</formula1>
    </dataValidation>
    <dataValidation sqref="G17" showDropDown="0" showInputMessage="0" showErrorMessage="0" allowBlank="1" type="list">
      <formula1>"🔴 Critique,🟠 Majeure,🟡 Mineure,🟢 Cosmétique"</formula1>
    </dataValidation>
    <dataValidation sqref="F17" showDropDown="0" showInputMessage="0" showErrorMessage="0" allowBlank="1" type="list">
      <formula1>"P1 — Critique,P2 — Haute,P3 — Moyenne,P4 — Basse"</formula1>
    </dataValidation>
    <dataValidation sqref="H17" showDropDown="0" showInputMessage="0" showErrorMessage="0" allowBlank="1" type="list">
      <formula1>"✅ Résolu,🔄 En cours,⏳ À faire,🚫 Abandonné"</formula1>
    </dataValidation>
    <dataValidation sqref="G17" showDropDown="0" showInputMessage="0" showErrorMessage="0" allowBlank="1" type="list">
      <formula1>"🔴 Critique,🟠 Majeure,🟡 Mineure,🟢 Cosmétique"</formula1>
    </dataValidation>
    <dataValidation sqref="F17" showDropDown="0" showInputMessage="0" showErrorMessage="0" allowBlank="1" type="list">
      <formula1>"P1 — Critique,P2 — Haute,P3 — Moyenne,P4 — Basse"</formula1>
    </dataValidation>
    <dataValidation sqref="H17" showDropDown="0" showInputMessage="0" showErrorMessage="0" allowBlank="1" type="list">
      <formula1>"✅ Résolu,🔄 En cours,⏳ À faire,🚫 Abandonné"</formula1>
    </dataValidation>
    <dataValidation sqref="G17" showDropDown="0" showInputMessage="0" showErrorMessage="0" allowBlank="1" type="list">
      <formula1>"🔴 Critique,🟠 Majeure,🟡 Mineure,🟢 Cosmétique"</formula1>
    </dataValidation>
    <dataValidation sqref="F17" showDropDown="0" showInputMessage="0" showErrorMessage="0" allowBlank="1" type="list">
      <formula1>"P1 — Critique,P2 — Haute,P3 — Moyenne,P4 — Basse"</formula1>
    </dataValidation>
    <dataValidation sqref="H17" showDropDown="0" showInputMessage="0" showErrorMessage="0" allowBlank="1" type="list">
      <formula1>"✅ Résolu,🔄 En cours,⏳ À faire,🚫 Abandonné"</formula1>
    </dataValidation>
    <dataValidation sqref="G17" showDropDown="0" showInputMessage="0" showErrorMessage="0" allowBlank="1" type="list">
      <formula1>"🔴 Critique,🟠 Majeure,🟡 Mineure,🟢 Cosmétique"</formula1>
    </dataValidation>
    <dataValidation sqref="F17" showDropDown="0" showInputMessage="0" showErrorMessage="0" allowBlank="1" type="list">
      <formula1>"P1 — Critique,P2 — Haute,P3 — Moyenne,P4 — Basse"</formula1>
    </dataValidation>
    <dataValidation sqref="H18" showDropDown="0" showInputMessage="0" showErrorMessage="0" allowBlank="1" type="list">
      <formula1>"✅ Résolu,🔄 En cours,⏳ À faire,🚫 Abandonné"</formula1>
    </dataValidation>
    <dataValidation sqref="G18" showDropDown="0" showInputMessage="0" showErrorMessage="0" allowBlank="1" type="list">
      <formula1>"🔴 Critique,🟠 Majeure,🟡 Mineure,🟢 Cosmétique"</formula1>
    </dataValidation>
    <dataValidation sqref="F18" showDropDown="0" showInputMessage="0" showErrorMessage="0" allowBlank="1" type="list">
      <formula1>"P1 — Critique,P2 — Haute,P3 — Moyenne,P4 — Basse"</formula1>
    </dataValidation>
    <dataValidation sqref="H18" showDropDown="0" showInputMessage="0" showErrorMessage="0" allowBlank="1" type="list">
      <formula1>"✅ Résolu,🔄 En cours,⏳ À faire,🚫 Abandonné"</formula1>
    </dataValidation>
    <dataValidation sqref="G18" showDropDown="0" showInputMessage="0" showErrorMessage="0" allowBlank="1" type="list">
      <formula1>"🔴 Critique,🟠 Majeure,🟡 Mineure,🟢 Cosmétique"</formula1>
    </dataValidation>
    <dataValidation sqref="F18" showDropDown="0" showInputMessage="0" showErrorMessage="0" allowBlank="1" type="list">
      <formula1>"P1 — Critique,P2 — Haute,P3 — Moyenne,P4 — Basse"</formula1>
    </dataValidation>
    <dataValidation sqref="H18" showDropDown="0" showInputMessage="0" showErrorMessage="0" allowBlank="1" type="list">
      <formula1>"✅ Résolu,🔄 En cours,⏳ À faire,🚫 Abandonné"</formula1>
    </dataValidation>
    <dataValidation sqref="G18" showDropDown="0" showInputMessage="0" showErrorMessage="0" allowBlank="1" type="list">
      <formula1>"🔴 Critique,🟠 Majeure,🟡 Mineure,🟢 Cosmétique"</formula1>
    </dataValidation>
    <dataValidation sqref="F18" showDropDown="0" showInputMessage="0" showErrorMessage="0" allowBlank="1" type="list">
      <formula1>"P1 — Critique,P2 — Haute,P3 — Moyenne,P4 — Basse"</formula1>
    </dataValidation>
    <dataValidation sqref="H18" showDropDown="0" showInputMessage="0" showErrorMessage="0" allowBlank="1" type="list">
      <formula1>"✅ Résolu,🔄 En cours,⏳ À faire,🚫 Abandonné"</formula1>
    </dataValidation>
    <dataValidation sqref="G18" showDropDown="0" showInputMessage="0" showErrorMessage="0" allowBlank="1" type="list">
      <formula1>"🔴 Critique,🟠 Majeure,🟡 Mineure,🟢 Cosmétique"</formula1>
    </dataValidation>
    <dataValidation sqref="F18" showDropDown="0" showInputMessage="0" showErrorMessage="0" allowBlank="1" type="list">
      <formula1>"P1 — Critique,P2 — Haute,P3 — Moyenne,P4 — Basse"</formula1>
    </dataValidation>
    <dataValidation sqref="H18" showDropDown="0" showInputMessage="0" showErrorMessage="0" allowBlank="1" type="list">
      <formula1>"✅ Résolu,🔄 En cours,⏳ À faire,🚫 Abandonné"</formula1>
    </dataValidation>
    <dataValidation sqref="G18" showDropDown="0" showInputMessage="0" showErrorMessage="0" allowBlank="1" type="list">
      <formula1>"🔴 Critique,🟠 Majeure,🟡 Mineure,🟢 Cosmétique"</formula1>
    </dataValidation>
    <dataValidation sqref="F18" showDropDown="0" showInputMessage="0" showErrorMessage="0" allowBlank="1" type="list">
      <formula1>"P1 — Critique,P2 — Haute,P3 — Moyenne,P4 — Basse"</formula1>
    </dataValidation>
    <dataValidation sqref="H18" showDropDown="0" showInputMessage="0" showErrorMessage="0" allowBlank="1" type="list">
      <formula1>"✅ Résolu,🔄 En cours,⏳ À faire,🚫 Abandonné"</formula1>
    </dataValidation>
    <dataValidation sqref="G18" showDropDown="0" showInputMessage="0" showErrorMessage="0" allowBlank="1" type="list">
      <formula1>"🔴 Critique,🟠 Majeure,🟡 Mineure,🟢 Cosmétique"</formula1>
    </dataValidation>
    <dataValidation sqref="F18" showDropDown="0" showInputMessage="0" showErrorMessage="0" allowBlank="1" type="list">
      <formula1>"P1 — Critique,P2 — Haute,P3 — Moyenne,P4 — Basse"</formula1>
    </dataValidation>
    <dataValidation sqref="H18" showDropDown="0" showInputMessage="0" showErrorMessage="0" allowBlank="1" type="list">
      <formula1>"✅ Résolu,🔄 En cours,⏳ À faire,🚫 Abandonné"</formula1>
    </dataValidation>
    <dataValidation sqref="G18" showDropDown="0" showInputMessage="0" showErrorMessage="0" allowBlank="1" type="list">
      <formula1>"🔴 Critique,🟠 Majeure,🟡 Mineure,🟢 Cosmétique"</formula1>
    </dataValidation>
    <dataValidation sqref="F18" showDropDown="0" showInputMessage="0" showErrorMessage="0" allowBlank="1" type="list">
      <formula1>"P1 — Critique,P2 — Haute,P3 — Moyenne,P4 — Basse"</formula1>
    </dataValidation>
    <dataValidation sqref="H18" showDropDown="0" showInputMessage="0" showErrorMessage="0" allowBlank="1" type="list">
      <formula1>"✅ Résolu,🔄 En cours,⏳ À faire,🚫 Abandonné"</formula1>
    </dataValidation>
    <dataValidation sqref="G18" showDropDown="0" showInputMessage="0" showErrorMessage="0" allowBlank="1" type="list">
      <formula1>"🔴 Critique,🟠 Majeure,🟡 Mineure,🟢 Cosmétique"</formula1>
    </dataValidation>
    <dataValidation sqref="F18" showDropDown="0" showInputMessage="0" showErrorMessage="0" allowBlank="1" type="list">
      <formula1>"P1 — Critique,P2 — Haute,P3 — Moyenne,P4 — Basse"</formula1>
    </dataValidation>
    <dataValidation sqref="H18" showDropDown="0" showInputMessage="0" showErrorMessage="0" allowBlank="1" type="list">
      <formula1>"✅ Résolu,🔄 En cours,⏳ À faire,🚫 Abandonné"</formula1>
    </dataValidation>
    <dataValidation sqref="G18" showDropDown="0" showInputMessage="0" showErrorMessage="0" allowBlank="1" type="list">
      <formula1>"🔴 Critique,🟠 Majeure,🟡 Mineure,🟢 Cosmétique"</formula1>
    </dataValidation>
    <dataValidation sqref="F18" showDropDown="0" showInputMessage="0" showErrorMessage="0" allowBlank="1" type="list">
      <formula1>"P1 — Critique,P2 — Haute,P3 — Moyenne,P4 — Basse"</formula1>
    </dataValidation>
    <dataValidation sqref="H18" showDropDown="0" showInputMessage="0" showErrorMessage="0" allowBlank="1" type="list">
      <formula1>"✅ Résolu,🔄 En cours,⏳ À faire,🚫 Abandonné"</formula1>
    </dataValidation>
    <dataValidation sqref="G18" showDropDown="0" showInputMessage="0" showErrorMessage="0" allowBlank="1" type="list">
      <formula1>"🔴 Critique,🟠 Majeure,🟡 Mineure,🟢 Cosmétique"</formula1>
    </dataValidation>
    <dataValidation sqref="F18" showDropDown="0" showInputMessage="0" showErrorMessage="0" allowBlank="1" type="list">
      <formula1>"P1 — Critique,P2 — Haute,P3 — Moyenne,P4 — Basse"</formula1>
    </dataValidation>
    <dataValidation sqref="H18" showDropDown="0" showInputMessage="0" showErrorMessage="0" allowBlank="1" type="list">
      <formula1>"✅ Résolu,🔄 En cours,⏳ À faire,🚫 Abandonné"</formula1>
    </dataValidation>
    <dataValidation sqref="G18" showDropDown="0" showInputMessage="0" showErrorMessage="0" allowBlank="1" type="list">
      <formula1>"🔴 Critique,🟠 Majeure,🟡 Mineure,🟢 Cosmétique"</formula1>
    </dataValidation>
    <dataValidation sqref="F18" showDropDown="0" showInputMessage="0" showErrorMessage="0" allowBlank="1" type="list">
      <formula1>"P1 — Critique,P2 — Haute,P3 — Moyenne,P4 — Basse"</formula1>
    </dataValidation>
    <dataValidation sqref="H18" showDropDown="0" showInputMessage="0" showErrorMessage="0" allowBlank="1" type="list">
      <formula1>"✅ Résolu,🔄 En cours,⏳ À faire,🚫 Abandonné"</formula1>
    </dataValidation>
    <dataValidation sqref="G18" showDropDown="0" showInputMessage="0" showErrorMessage="0" allowBlank="1" type="list">
      <formula1>"🔴 Critique,🟠 Majeure,🟡 Mineure,🟢 Cosmétique"</formula1>
    </dataValidation>
    <dataValidation sqref="F18" showDropDown="0" showInputMessage="0" showErrorMessage="0" allowBlank="1" type="list">
      <formula1>"P1 — Critique,P2 — Haute,P3 — Moyenne,P4 — Basse"</formula1>
    </dataValidation>
    <dataValidation sqref="H19" showDropDown="0" showInputMessage="0" showErrorMessage="0" allowBlank="1" type="list">
      <formula1>"✅ Résolu,🔄 En cours,⏳ À faire,🚫 Abandonné"</formula1>
    </dataValidation>
    <dataValidation sqref="G19" showDropDown="0" showInputMessage="0" showErrorMessage="0" allowBlank="1" type="list">
      <formula1>"🔴 Critique,🟠 Majeure,🟡 Mineure,🟢 Cosmétique"</formula1>
    </dataValidation>
    <dataValidation sqref="F19" showDropDown="0" showInputMessage="0" showErrorMessage="0" allowBlank="1" type="list">
      <formula1>"P1 — Critique,P2 — Haute,P3 — Moyenne,P4 — Basse"</formula1>
    </dataValidation>
    <dataValidation sqref="H19" showDropDown="0" showInputMessage="0" showErrorMessage="0" allowBlank="1" type="list">
      <formula1>"✅ Résolu,🔄 En cours,⏳ À faire,🚫 Abandonné"</formula1>
    </dataValidation>
    <dataValidation sqref="G19" showDropDown="0" showInputMessage="0" showErrorMessage="0" allowBlank="1" type="list">
      <formula1>"🔴 Critique,🟠 Majeure,🟡 Mineure,🟢 Cosmétique"</formula1>
    </dataValidation>
    <dataValidation sqref="F19" showDropDown="0" showInputMessage="0" showErrorMessage="0" allowBlank="1" type="list">
      <formula1>"P1 — Critique,P2 — Haute,P3 — Moyenne,P4 — Basse"</formula1>
    </dataValidation>
    <dataValidation sqref="H19" showDropDown="0" showInputMessage="0" showErrorMessage="0" allowBlank="1" type="list">
      <formula1>"✅ Résolu,🔄 En cours,⏳ À faire,🚫 Abandonné"</formula1>
    </dataValidation>
    <dataValidation sqref="G19" showDropDown="0" showInputMessage="0" showErrorMessage="0" allowBlank="1" type="list">
      <formula1>"🔴 Critique,🟠 Majeure,🟡 Mineure,🟢 Cosmétique"</formula1>
    </dataValidation>
    <dataValidation sqref="F19" showDropDown="0" showInputMessage="0" showErrorMessage="0" allowBlank="1" type="list">
      <formula1>"P1 — Critique,P2 — Haute,P3 — Moyenne,P4 — Basse"</formula1>
    </dataValidation>
    <dataValidation sqref="H19" showDropDown="0" showInputMessage="0" showErrorMessage="0" allowBlank="1" type="list">
      <formula1>"✅ Résolu,🔄 En cours,⏳ À faire,🚫 Abandonné"</formula1>
    </dataValidation>
    <dataValidation sqref="G19" showDropDown="0" showInputMessage="0" showErrorMessage="0" allowBlank="1" type="list">
      <formula1>"🔴 Critique,🟠 Majeure,🟡 Mineure,🟢 Cosmétique"</formula1>
    </dataValidation>
    <dataValidation sqref="F19" showDropDown="0" showInputMessage="0" showErrorMessage="0" allowBlank="1" type="list">
      <formula1>"P1 — Critique,P2 — Haute,P3 — Moyenne,P4 — Basse"</formula1>
    </dataValidation>
    <dataValidation sqref="H19" showDropDown="0" showInputMessage="0" showErrorMessage="0" allowBlank="1" type="list">
      <formula1>"✅ Résolu,🔄 En cours,⏳ À faire,🚫 Abandonné"</formula1>
    </dataValidation>
    <dataValidation sqref="G19" showDropDown="0" showInputMessage="0" showErrorMessage="0" allowBlank="1" type="list">
      <formula1>"🔴 Critique,🟠 Majeure,🟡 Mineure,🟢 Cosmétique"</formula1>
    </dataValidation>
    <dataValidation sqref="F19" showDropDown="0" showInputMessage="0" showErrorMessage="0" allowBlank="1" type="list">
      <formula1>"P1 — Critique,P2 — Haute,P3 — Moyenne,P4 — Basse"</formula1>
    </dataValidation>
    <dataValidation sqref="H19" showDropDown="0" showInputMessage="0" showErrorMessage="0" allowBlank="1" type="list">
      <formula1>"✅ Résolu,🔄 En cours,⏳ À faire,🚫 Abandonné"</formula1>
    </dataValidation>
    <dataValidation sqref="G19" showDropDown="0" showInputMessage="0" showErrorMessage="0" allowBlank="1" type="list">
      <formula1>"🔴 Critique,🟠 Majeure,🟡 Mineure,🟢 Cosmétique"</formula1>
    </dataValidation>
    <dataValidation sqref="F19" showDropDown="0" showInputMessage="0" showErrorMessage="0" allowBlank="1" type="list">
      <formula1>"P1 — Critique,P2 — Haute,P3 — Moyenne,P4 — Basse"</formula1>
    </dataValidation>
    <dataValidation sqref="H19" showDropDown="0" showInputMessage="0" showErrorMessage="0" allowBlank="1" type="list">
      <formula1>"✅ Résolu,🔄 En cours,⏳ À faire,🚫 Abandonné"</formula1>
    </dataValidation>
    <dataValidation sqref="G19" showDropDown="0" showInputMessage="0" showErrorMessage="0" allowBlank="1" type="list">
      <formula1>"🔴 Critique,🟠 Majeure,🟡 Mineure,🟢 Cosmétique"</formula1>
    </dataValidation>
    <dataValidation sqref="F19" showDropDown="0" showInputMessage="0" showErrorMessage="0" allowBlank="1" type="list">
      <formula1>"P1 — Critique,P2 — Haute,P3 — Moyenne,P4 — Basse"</formula1>
    </dataValidation>
    <dataValidation sqref="H19" showDropDown="0" showInputMessage="0" showErrorMessage="0" allowBlank="1" type="list">
      <formula1>"✅ Résolu,🔄 En cours,⏳ À faire,🚫 Abandonné"</formula1>
    </dataValidation>
    <dataValidation sqref="G19" showDropDown="0" showInputMessage="0" showErrorMessage="0" allowBlank="1" type="list">
      <formula1>"🔴 Critique,🟠 Majeure,🟡 Mineure,🟢 Cosmétique"</formula1>
    </dataValidation>
    <dataValidation sqref="F19" showDropDown="0" showInputMessage="0" showErrorMessage="0" allowBlank="1" type="list">
      <formula1>"P1 — Critique,P2 — Haute,P3 — Moyenne,P4 — Basse"</formula1>
    </dataValidation>
    <dataValidation sqref="H19" showDropDown="0" showInputMessage="0" showErrorMessage="0" allowBlank="1" type="list">
      <formula1>"✅ Résolu,🔄 En cours,⏳ À faire,🚫 Abandonné"</formula1>
    </dataValidation>
    <dataValidation sqref="G19" showDropDown="0" showInputMessage="0" showErrorMessage="0" allowBlank="1" type="list">
      <formula1>"🔴 Critique,🟠 Majeure,🟡 Mineure,🟢 Cosmétique"</formula1>
    </dataValidation>
    <dataValidation sqref="F19" showDropDown="0" showInputMessage="0" showErrorMessage="0" allowBlank="1" type="list">
      <formula1>"P1 — Critique,P2 — Haute,P3 — Moyenne,P4 — Basse"</formula1>
    </dataValidation>
    <dataValidation sqref="H19" showDropDown="0" showInputMessage="0" showErrorMessage="0" allowBlank="1" type="list">
      <formula1>"✅ Résolu,🔄 En cours,⏳ À faire,🚫 Abandonné"</formula1>
    </dataValidation>
    <dataValidation sqref="G19" showDropDown="0" showInputMessage="0" showErrorMessage="0" allowBlank="1" type="list">
      <formula1>"🔴 Critique,🟠 Majeure,🟡 Mineure,🟢 Cosmétique"</formula1>
    </dataValidation>
    <dataValidation sqref="F19" showDropDown="0" showInputMessage="0" showErrorMessage="0" allowBlank="1" type="list">
      <formula1>"P1 — Critique,P2 — Haute,P3 — Moyenne,P4 — Basse"</formula1>
    </dataValidation>
    <dataValidation sqref="H19" showDropDown="0" showInputMessage="0" showErrorMessage="0" allowBlank="1" type="list">
      <formula1>"✅ Résolu,🔄 En cours,⏳ À faire,🚫 Abandonné"</formula1>
    </dataValidation>
    <dataValidation sqref="G19" showDropDown="0" showInputMessage="0" showErrorMessage="0" allowBlank="1" type="list">
      <formula1>"🔴 Critique,🟠 Majeure,🟡 Mineure,🟢 Cosmétique"</formula1>
    </dataValidation>
    <dataValidation sqref="F19" showDropDown="0" showInputMessage="0" showErrorMessage="0" allowBlank="1" type="list">
      <formula1>"P1 — Critique,P2 — Haute,P3 — Moyenne,P4 — Basse"</formula1>
    </dataValidation>
    <dataValidation sqref="H19" showDropDown="0" showInputMessage="0" showErrorMessage="0" allowBlank="1" type="list">
      <formula1>"✅ Résolu,🔄 En cours,⏳ À faire,🚫 Abandonné"</formula1>
    </dataValidation>
    <dataValidation sqref="G19" showDropDown="0" showInputMessage="0" showErrorMessage="0" allowBlank="1" type="list">
      <formula1>"🔴 Critique,🟠 Majeure,🟡 Mineure,🟢 Cosmétique"</formula1>
    </dataValidation>
    <dataValidation sqref="F19" showDropDown="0" showInputMessage="0" showErrorMessage="0" allowBlank="1" type="list">
      <formula1>"P1 — Critique,P2 — Haute,P3 — Moyenne,P4 — Basse"</formula1>
    </dataValidation>
    <dataValidation sqref="H20" showDropDown="0" showInputMessage="0" showErrorMessage="0" allowBlank="1" type="list">
      <formula1>"✅ Résolu,🔄 En cours,⏳ À faire,🚫 Abandonné"</formula1>
    </dataValidation>
    <dataValidation sqref="G20" showDropDown="0" showInputMessage="0" showErrorMessage="0" allowBlank="1" type="list">
      <formula1>"🔴 Critique,🟠 Majeure,🟡 Mineure,🟢 Cosmétique"</formula1>
    </dataValidation>
    <dataValidation sqref="F20" showDropDown="0" showInputMessage="0" showErrorMessage="0" allowBlank="1" type="list">
      <formula1>"P1 — Critique,P2 — Haute,P3 — Moyenne,P4 — Basse"</formula1>
    </dataValidation>
    <dataValidation sqref="H20" showDropDown="0" showInputMessage="0" showErrorMessage="0" allowBlank="1" type="list">
      <formula1>"✅ Résolu,🔄 En cours,⏳ À faire,🚫 Abandonné"</formula1>
    </dataValidation>
    <dataValidation sqref="G20" showDropDown="0" showInputMessage="0" showErrorMessage="0" allowBlank="1" type="list">
      <formula1>"🔴 Critique,🟠 Majeure,🟡 Mineure,🟢 Cosmétique"</formula1>
    </dataValidation>
    <dataValidation sqref="F20" showDropDown="0" showInputMessage="0" showErrorMessage="0" allowBlank="1" type="list">
      <formula1>"P1 — Critique,P2 — Haute,P3 — Moyenne,P4 — Basse"</formula1>
    </dataValidation>
    <dataValidation sqref="H20" showDropDown="0" showInputMessage="0" showErrorMessage="0" allowBlank="1" type="list">
      <formula1>"✅ Résolu,🔄 En cours,⏳ À faire,🚫 Abandonné"</formula1>
    </dataValidation>
    <dataValidation sqref="G20" showDropDown="0" showInputMessage="0" showErrorMessage="0" allowBlank="1" type="list">
      <formula1>"🔴 Critique,🟠 Majeure,🟡 Mineure,🟢 Cosmétique"</formula1>
    </dataValidation>
    <dataValidation sqref="F20" showDropDown="0" showInputMessage="0" showErrorMessage="0" allowBlank="1" type="list">
      <formula1>"P1 — Critique,P2 — Haute,P3 — Moyenne,P4 — Basse"</formula1>
    </dataValidation>
    <dataValidation sqref="H20" showDropDown="0" showInputMessage="0" showErrorMessage="0" allowBlank="1" type="list">
      <formula1>"✅ Résolu,🔄 En cours,⏳ À faire,🚫 Abandonné"</formula1>
    </dataValidation>
    <dataValidation sqref="G20" showDropDown="0" showInputMessage="0" showErrorMessage="0" allowBlank="1" type="list">
      <formula1>"🔴 Critique,🟠 Majeure,🟡 Mineure,🟢 Cosmétique"</formula1>
    </dataValidation>
    <dataValidation sqref="F20" showDropDown="0" showInputMessage="0" showErrorMessage="0" allowBlank="1" type="list">
      <formula1>"P1 — Critique,P2 — Haute,P3 — Moyenne,P4 — Basse"</formula1>
    </dataValidation>
    <dataValidation sqref="H20" showDropDown="0" showInputMessage="0" showErrorMessage="0" allowBlank="1" type="list">
      <formula1>"✅ Résolu,🔄 En cours,⏳ À faire,🚫 Abandonné"</formula1>
    </dataValidation>
    <dataValidation sqref="G20" showDropDown="0" showInputMessage="0" showErrorMessage="0" allowBlank="1" type="list">
      <formula1>"🔴 Critique,🟠 Majeure,🟡 Mineure,🟢 Cosmétique"</formula1>
    </dataValidation>
    <dataValidation sqref="F20" showDropDown="0" showInputMessage="0" showErrorMessage="0" allowBlank="1" type="list">
      <formula1>"P1 — Critique,P2 — Haute,P3 — Moyenne,P4 — Basse"</formula1>
    </dataValidation>
    <dataValidation sqref="H20" showDropDown="0" showInputMessage="0" showErrorMessage="0" allowBlank="1" type="list">
      <formula1>"✅ Résolu,🔄 En cours,⏳ À faire,🚫 Abandonné"</formula1>
    </dataValidation>
    <dataValidation sqref="G20" showDropDown="0" showInputMessage="0" showErrorMessage="0" allowBlank="1" type="list">
      <formula1>"🔴 Critique,🟠 Majeure,🟡 Mineure,🟢 Cosmétique"</formula1>
    </dataValidation>
    <dataValidation sqref="F20" showDropDown="0" showInputMessage="0" showErrorMessage="0" allowBlank="1" type="list">
      <formula1>"P1 — Critique,P2 — Haute,P3 — Moyenne,P4 — Basse"</formula1>
    </dataValidation>
    <dataValidation sqref="H20" showDropDown="0" showInputMessage="0" showErrorMessage="0" allowBlank="1" type="list">
      <formula1>"✅ Résolu,🔄 En cours,⏳ À faire,🚫 Abandonné"</formula1>
    </dataValidation>
    <dataValidation sqref="G20" showDropDown="0" showInputMessage="0" showErrorMessage="0" allowBlank="1" type="list">
      <formula1>"🔴 Critique,🟠 Majeure,🟡 Mineure,🟢 Cosmétique"</formula1>
    </dataValidation>
    <dataValidation sqref="F20" showDropDown="0" showInputMessage="0" showErrorMessage="0" allowBlank="1" type="list">
      <formula1>"P1 — Critique,P2 — Haute,P3 — Moyenne,P4 — Basse"</formula1>
    </dataValidation>
    <dataValidation sqref="H20" showDropDown="0" showInputMessage="0" showErrorMessage="0" allowBlank="1" type="list">
      <formula1>"✅ Résolu,🔄 En cours,⏳ À faire,🚫 Abandonné"</formula1>
    </dataValidation>
    <dataValidation sqref="G20" showDropDown="0" showInputMessage="0" showErrorMessage="0" allowBlank="1" type="list">
      <formula1>"🔴 Critique,🟠 Majeure,🟡 Mineure,🟢 Cosmétique"</formula1>
    </dataValidation>
    <dataValidation sqref="F20" showDropDown="0" showInputMessage="0" showErrorMessage="0" allowBlank="1" type="list">
      <formula1>"P1 — Critique,P2 — Haute,P3 — Moyenne,P4 — Basse"</formula1>
    </dataValidation>
    <dataValidation sqref="H20" showDropDown="0" showInputMessage="0" showErrorMessage="0" allowBlank="1" type="list">
      <formula1>"✅ Résolu,🔄 En cours,⏳ À faire,🚫 Abandonné"</formula1>
    </dataValidation>
    <dataValidation sqref="G20" showDropDown="0" showInputMessage="0" showErrorMessage="0" allowBlank="1" type="list">
      <formula1>"🔴 Critique,🟠 Majeure,🟡 Mineure,🟢 Cosmétique"</formula1>
    </dataValidation>
    <dataValidation sqref="F20" showDropDown="0" showInputMessage="0" showErrorMessage="0" allowBlank="1" type="list">
      <formula1>"P1 — Critique,P2 — Haute,P3 — Moyenne,P4 — Basse"</formula1>
    </dataValidation>
    <dataValidation sqref="H20" showDropDown="0" showInputMessage="0" showErrorMessage="0" allowBlank="1" type="list">
      <formula1>"✅ Résolu,🔄 En cours,⏳ À faire,🚫 Abandonné"</formula1>
    </dataValidation>
    <dataValidation sqref="G20" showDropDown="0" showInputMessage="0" showErrorMessage="0" allowBlank="1" type="list">
      <formula1>"🔴 Critique,🟠 Majeure,🟡 Mineure,🟢 Cosmétique"</formula1>
    </dataValidation>
    <dataValidation sqref="F20" showDropDown="0" showInputMessage="0" showErrorMessage="0" allowBlank="1" type="list">
      <formula1>"P1 — Critique,P2 — Haute,P3 — Moyenne,P4 — Basse"</formula1>
    </dataValidation>
    <dataValidation sqref="H20" showDropDown="0" showInputMessage="0" showErrorMessage="0" allowBlank="1" type="list">
      <formula1>"✅ Résolu,🔄 En cours,⏳ À faire,🚫 Abandonné"</formula1>
    </dataValidation>
    <dataValidation sqref="G20" showDropDown="0" showInputMessage="0" showErrorMessage="0" allowBlank="1" type="list">
      <formula1>"🔴 Critique,🟠 Majeure,🟡 Mineure,🟢 Cosmétique"</formula1>
    </dataValidation>
    <dataValidation sqref="F20" showDropDown="0" showInputMessage="0" showErrorMessage="0" allowBlank="1" type="list">
      <formula1>"P1 — Critique,P2 — Haute,P3 — Moyenne,P4 — Basse"</formula1>
    </dataValidation>
    <dataValidation sqref="H20" showDropDown="0" showInputMessage="0" showErrorMessage="0" allowBlank="1" type="list">
      <formula1>"✅ Résolu,🔄 En cours,⏳ À faire,🚫 Abandonné"</formula1>
    </dataValidation>
    <dataValidation sqref="G20" showDropDown="0" showInputMessage="0" showErrorMessage="0" allowBlank="1" type="list">
      <formula1>"🔴 Critique,🟠 Majeure,🟡 Mineure,🟢 Cosmétique"</formula1>
    </dataValidation>
    <dataValidation sqref="F20" showDropDown="0" showInputMessage="0" showErrorMessage="0" allowBlank="1" type="list">
      <formula1>"P1 — Critique,P2 — Haute,P3 — Moyenne,P4 — Basse"</formula1>
    </dataValidation>
    <dataValidation sqref="H21" showDropDown="0" showInputMessage="0" showErrorMessage="0" allowBlank="1" type="list">
      <formula1>"✅ Résolu,🔄 En cours,⏳ À faire,🚫 Abandonné"</formula1>
    </dataValidation>
    <dataValidation sqref="G21" showDropDown="0" showInputMessage="0" showErrorMessage="0" allowBlank="1" type="list">
      <formula1>"🔴 Critique,🟠 Majeure,🟡 Mineure,🟢 Cosmétique"</formula1>
    </dataValidation>
    <dataValidation sqref="F21" showDropDown="0" showInputMessage="0" showErrorMessage="0" allowBlank="1" type="list">
      <formula1>"P1 — Critique,P2 — Haute,P3 — Moyenne,P4 — Basse"</formula1>
    </dataValidation>
    <dataValidation sqref="H21" showDropDown="0" showInputMessage="0" showErrorMessage="0" allowBlank="1" type="list">
      <formula1>"✅ Résolu,🔄 En cours,⏳ À faire,🚫 Abandonné"</formula1>
    </dataValidation>
    <dataValidation sqref="G21" showDropDown="0" showInputMessage="0" showErrorMessage="0" allowBlank="1" type="list">
      <formula1>"🔴 Critique,🟠 Majeure,🟡 Mineure,🟢 Cosmétique"</formula1>
    </dataValidation>
    <dataValidation sqref="F21" showDropDown="0" showInputMessage="0" showErrorMessage="0" allowBlank="1" type="list">
      <formula1>"P1 — Critique,P2 — Haute,P3 — Moyenne,P4 — Basse"</formula1>
    </dataValidation>
    <dataValidation sqref="H21" showDropDown="0" showInputMessage="0" showErrorMessage="0" allowBlank="1" type="list">
      <formula1>"✅ Résolu,🔄 En cours,⏳ À faire,🚫 Abandonné"</formula1>
    </dataValidation>
    <dataValidation sqref="G21" showDropDown="0" showInputMessage="0" showErrorMessage="0" allowBlank="1" type="list">
      <formula1>"🔴 Critique,🟠 Majeure,🟡 Mineure,🟢 Cosmétique"</formula1>
    </dataValidation>
    <dataValidation sqref="F21" showDropDown="0" showInputMessage="0" showErrorMessage="0" allowBlank="1" type="list">
      <formula1>"P1 — Critique,P2 — Haute,P3 — Moyenne,P4 — Basse"</formula1>
    </dataValidation>
    <dataValidation sqref="H21" showDropDown="0" showInputMessage="0" showErrorMessage="0" allowBlank="1" type="list">
      <formula1>"✅ Résolu,🔄 En cours,⏳ À faire,🚫 Abandonné"</formula1>
    </dataValidation>
    <dataValidation sqref="G21" showDropDown="0" showInputMessage="0" showErrorMessage="0" allowBlank="1" type="list">
      <formula1>"🔴 Critique,🟠 Majeure,🟡 Mineure,🟢 Cosmétique"</formula1>
    </dataValidation>
    <dataValidation sqref="F21" showDropDown="0" showInputMessage="0" showErrorMessage="0" allowBlank="1" type="list">
      <formula1>"P1 — Critique,P2 — Haute,P3 — Moyenne,P4 — Basse"</formula1>
    </dataValidation>
    <dataValidation sqref="H21" showDropDown="0" showInputMessage="0" showErrorMessage="0" allowBlank="1" type="list">
      <formula1>"✅ Résolu,🔄 En cours,⏳ À faire,🚫 Abandonné"</formula1>
    </dataValidation>
    <dataValidation sqref="G21" showDropDown="0" showInputMessage="0" showErrorMessage="0" allowBlank="1" type="list">
      <formula1>"🔴 Critique,🟠 Majeure,🟡 Mineure,🟢 Cosmétique"</formula1>
    </dataValidation>
    <dataValidation sqref="F21" showDropDown="0" showInputMessage="0" showErrorMessage="0" allowBlank="1" type="list">
      <formula1>"P1 — Critique,P2 — Haute,P3 — Moyenne,P4 — Basse"</formula1>
    </dataValidation>
    <dataValidation sqref="H21" showDropDown="0" showInputMessage="0" showErrorMessage="0" allowBlank="1" type="list">
      <formula1>"✅ Résolu,🔄 En cours,⏳ À faire,🚫 Abandonné"</formula1>
    </dataValidation>
    <dataValidation sqref="G21" showDropDown="0" showInputMessage="0" showErrorMessage="0" allowBlank="1" type="list">
      <formula1>"🔴 Critique,🟠 Majeure,🟡 Mineure,🟢 Cosmétique"</formula1>
    </dataValidation>
    <dataValidation sqref="F21" showDropDown="0" showInputMessage="0" showErrorMessage="0" allowBlank="1" type="list">
      <formula1>"P1 — Critique,P2 — Haute,P3 — Moyenne,P4 — Basse"</formula1>
    </dataValidation>
    <dataValidation sqref="H21" showDropDown="0" showInputMessage="0" showErrorMessage="0" allowBlank="1" type="list">
      <formula1>"✅ Résolu,🔄 En cours,⏳ À faire,🚫 Abandonné"</formula1>
    </dataValidation>
    <dataValidation sqref="G21" showDropDown="0" showInputMessage="0" showErrorMessage="0" allowBlank="1" type="list">
      <formula1>"🔴 Critique,🟠 Majeure,🟡 Mineure,🟢 Cosmétique"</formula1>
    </dataValidation>
    <dataValidation sqref="F21" showDropDown="0" showInputMessage="0" showErrorMessage="0" allowBlank="1" type="list">
      <formula1>"P1 — Critique,P2 — Haute,P3 — Moyenne,P4 — Basse"</formula1>
    </dataValidation>
    <dataValidation sqref="H21" showDropDown="0" showInputMessage="0" showErrorMessage="0" allowBlank="1" type="list">
      <formula1>"✅ Résolu,🔄 En cours,⏳ À faire,🚫 Abandonné"</formula1>
    </dataValidation>
    <dataValidation sqref="G21" showDropDown="0" showInputMessage="0" showErrorMessage="0" allowBlank="1" type="list">
      <formula1>"🔴 Critique,🟠 Majeure,🟡 Mineure,🟢 Cosmétique"</formula1>
    </dataValidation>
    <dataValidation sqref="F21" showDropDown="0" showInputMessage="0" showErrorMessage="0" allowBlank="1" type="list">
      <formula1>"P1 — Critique,P2 — Haute,P3 — Moyenne,P4 — Basse"</formula1>
    </dataValidation>
    <dataValidation sqref="H21" showDropDown="0" showInputMessage="0" showErrorMessage="0" allowBlank="1" type="list">
      <formula1>"✅ Résolu,🔄 En cours,⏳ À faire,🚫 Abandonné"</formula1>
    </dataValidation>
    <dataValidation sqref="G21" showDropDown="0" showInputMessage="0" showErrorMessage="0" allowBlank="1" type="list">
      <formula1>"🔴 Critique,🟠 Majeure,🟡 Mineure,🟢 Cosmétique"</formula1>
    </dataValidation>
    <dataValidation sqref="F21" showDropDown="0" showInputMessage="0" showErrorMessage="0" allowBlank="1" type="list">
      <formula1>"P1 — Critique,P2 — Haute,P3 — Moyenne,P4 — Basse"</formula1>
    </dataValidation>
    <dataValidation sqref="H21" showDropDown="0" showInputMessage="0" showErrorMessage="0" allowBlank="1" type="list">
      <formula1>"✅ Résolu,🔄 En cours,⏳ À faire,🚫 Abandonné"</formula1>
    </dataValidation>
    <dataValidation sqref="G21" showDropDown="0" showInputMessage="0" showErrorMessage="0" allowBlank="1" type="list">
      <formula1>"🔴 Critique,🟠 Majeure,🟡 Mineure,🟢 Cosmétique"</formula1>
    </dataValidation>
    <dataValidation sqref="F21" showDropDown="0" showInputMessage="0" showErrorMessage="0" allowBlank="1" type="list">
      <formula1>"P1 — Critique,P2 — Haute,P3 — Moyenne,P4 — Basse"</formula1>
    </dataValidation>
    <dataValidation sqref="H21" showDropDown="0" showInputMessage="0" showErrorMessage="0" allowBlank="1" type="list">
      <formula1>"✅ Résolu,🔄 En cours,⏳ À faire,🚫 Abandonné"</formula1>
    </dataValidation>
    <dataValidation sqref="G21" showDropDown="0" showInputMessage="0" showErrorMessage="0" allowBlank="1" type="list">
      <formula1>"🔴 Critique,🟠 Majeure,🟡 Mineure,🟢 Cosmétique"</formula1>
    </dataValidation>
    <dataValidation sqref="F21" showDropDown="0" showInputMessage="0" showErrorMessage="0" allowBlank="1" type="list">
      <formula1>"P1 — Critique,P2 — Haute,P3 — Moyenne,P4 — Basse"</formula1>
    </dataValidation>
    <dataValidation sqref="H21" showDropDown="0" showInputMessage="0" showErrorMessage="0" allowBlank="1" type="list">
      <formula1>"✅ Résolu,🔄 En cours,⏳ À faire,🚫 Abandonné"</formula1>
    </dataValidation>
    <dataValidation sqref="G21" showDropDown="0" showInputMessage="0" showErrorMessage="0" allowBlank="1" type="list">
      <formula1>"🔴 Critique,🟠 Majeure,🟡 Mineure,🟢 Cosmétique"</formula1>
    </dataValidation>
    <dataValidation sqref="F21" showDropDown="0" showInputMessage="0" showErrorMessage="0" allowBlank="1" type="list">
      <formula1>"P1 — Critique,P2 — Haute,P3 — Moyenne,P4 — Basse"</formula1>
    </dataValidation>
    <dataValidation sqref="H22" showDropDown="0" showInputMessage="0" showErrorMessage="0" allowBlank="1" type="list">
      <formula1>"✅ Résolu,🔄 En cours,⏳ À faire,🚫 Abandonné"</formula1>
    </dataValidation>
    <dataValidation sqref="G22" showDropDown="0" showInputMessage="0" showErrorMessage="0" allowBlank="1" type="list">
      <formula1>"🔴 Critique,🟠 Majeure,🟡 Mineure,🟢 Cosmétique"</formula1>
    </dataValidation>
    <dataValidation sqref="F22" showDropDown="0" showInputMessage="0" showErrorMessage="0" allowBlank="1" type="list">
      <formula1>"P1 — Critique,P2 — Haute,P3 — Moyenne,P4 — Basse"</formula1>
    </dataValidation>
    <dataValidation sqref="H22" showDropDown="0" showInputMessage="0" showErrorMessage="0" allowBlank="1" type="list">
      <formula1>"✅ Résolu,🔄 En cours,⏳ À faire,🚫 Abandonné"</formula1>
    </dataValidation>
    <dataValidation sqref="G22" showDropDown="0" showInputMessage="0" showErrorMessage="0" allowBlank="1" type="list">
      <formula1>"🔴 Critique,🟠 Majeure,🟡 Mineure,🟢 Cosmétique"</formula1>
    </dataValidation>
    <dataValidation sqref="F22" showDropDown="0" showInputMessage="0" showErrorMessage="0" allowBlank="1" type="list">
      <formula1>"P1 — Critique,P2 — Haute,P3 — Moyenne,P4 — Basse"</formula1>
    </dataValidation>
    <dataValidation sqref="H22" showDropDown="0" showInputMessage="0" showErrorMessage="0" allowBlank="1" type="list">
      <formula1>"✅ Résolu,🔄 En cours,⏳ À faire,🚫 Abandonné"</formula1>
    </dataValidation>
    <dataValidation sqref="G22" showDropDown="0" showInputMessage="0" showErrorMessage="0" allowBlank="1" type="list">
      <formula1>"🔴 Critique,🟠 Majeure,🟡 Mineure,🟢 Cosmétique"</formula1>
    </dataValidation>
    <dataValidation sqref="F22" showDropDown="0" showInputMessage="0" showErrorMessage="0" allowBlank="1" type="list">
      <formula1>"P1 — Critique,P2 — Haute,P3 — Moyenne,P4 — Basse"</formula1>
    </dataValidation>
    <dataValidation sqref="H22" showDropDown="0" showInputMessage="0" showErrorMessage="0" allowBlank="1" type="list">
      <formula1>"✅ Résolu,🔄 En cours,⏳ À faire,🚫 Abandonné"</formula1>
    </dataValidation>
    <dataValidation sqref="G22" showDropDown="0" showInputMessage="0" showErrorMessage="0" allowBlank="1" type="list">
      <formula1>"🔴 Critique,🟠 Majeure,🟡 Mineure,🟢 Cosmétique"</formula1>
    </dataValidation>
    <dataValidation sqref="F22" showDropDown="0" showInputMessage="0" showErrorMessage="0" allowBlank="1" type="list">
      <formula1>"P1 — Critique,P2 — Haute,P3 — Moyenne,P4 — Basse"</formula1>
    </dataValidation>
    <dataValidation sqref="H22" showDropDown="0" showInputMessage="0" showErrorMessage="0" allowBlank="1" type="list">
      <formula1>"✅ Résolu,🔄 En cours,⏳ À faire,🚫 Abandonné"</formula1>
    </dataValidation>
    <dataValidation sqref="G22" showDropDown="0" showInputMessage="0" showErrorMessage="0" allowBlank="1" type="list">
      <formula1>"🔴 Critique,🟠 Majeure,🟡 Mineure,🟢 Cosmétique"</formula1>
    </dataValidation>
    <dataValidation sqref="F22" showDropDown="0" showInputMessage="0" showErrorMessage="0" allowBlank="1" type="list">
      <formula1>"P1 — Critique,P2 — Haute,P3 — Moyenne,P4 — Basse"</formula1>
    </dataValidation>
    <dataValidation sqref="H22" showDropDown="0" showInputMessage="0" showErrorMessage="0" allowBlank="1" type="list">
      <formula1>"✅ Résolu,🔄 En cours,⏳ À faire,🚫 Abandonné"</formula1>
    </dataValidation>
    <dataValidation sqref="G22" showDropDown="0" showInputMessage="0" showErrorMessage="0" allowBlank="1" type="list">
      <formula1>"🔴 Critique,🟠 Majeure,🟡 Mineure,🟢 Cosmétique"</formula1>
    </dataValidation>
    <dataValidation sqref="F22" showDropDown="0" showInputMessage="0" showErrorMessage="0" allowBlank="1" type="list">
      <formula1>"P1 — Critique,P2 — Haute,P3 — Moyenne,P4 — Basse"</formula1>
    </dataValidation>
    <dataValidation sqref="H22" showDropDown="0" showInputMessage="0" showErrorMessage="0" allowBlank="1" type="list">
      <formula1>"✅ Résolu,🔄 En cours,⏳ À faire,🚫 Abandonné"</formula1>
    </dataValidation>
    <dataValidation sqref="G22" showDropDown="0" showInputMessage="0" showErrorMessage="0" allowBlank="1" type="list">
      <formula1>"🔴 Critique,🟠 Majeure,🟡 Mineure,🟢 Cosmétique"</formula1>
    </dataValidation>
    <dataValidation sqref="F22" showDropDown="0" showInputMessage="0" showErrorMessage="0" allowBlank="1" type="list">
      <formula1>"P1 — Critique,P2 — Haute,P3 — Moyenne,P4 — Basse"</formula1>
    </dataValidation>
    <dataValidation sqref="H22" showDropDown="0" showInputMessage="0" showErrorMessage="0" allowBlank="1" type="list">
      <formula1>"✅ Résolu,🔄 En cours,⏳ À faire,🚫 Abandonné"</formula1>
    </dataValidation>
    <dataValidation sqref="G22" showDropDown="0" showInputMessage="0" showErrorMessage="0" allowBlank="1" type="list">
      <formula1>"🔴 Critique,🟠 Majeure,🟡 Mineure,🟢 Cosmétique"</formula1>
    </dataValidation>
    <dataValidation sqref="F22" showDropDown="0" showInputMessage="0" showErrorMessage="0" allowBlank="1" type="list">
      <formula1>"P1 — Critique,P2 — Haute,P3 — Moyenne,P4 — Basse"</formula1>
    </dataValidation>
    <dataValidation sqref="H22" showDropDown="0" showInputMessage="0" showErrorMessage="0" allowBlank="1" type="list">
      <formula1>"✅ Résolu,🔄 En cours,⏳ À faire,🚫 Abandonné"</formula1>
    </dataValidation>
    <dataValidation sqref="G22" showDropDown="0" showInputMessage="0" showErrorMessage="0" allowBlank="1" type="list">
      <formula1>"🔴 Critique,🟠 Majeure,🟡 Mineure,🟢 Cosmétique"</formula1>
    </dataValidation>
    <dataValidation sqref="F22" showDropDown="0" showInputMessage="0" showErrorMessage="0" allowBlank="1" type="list">
      <formula1>"P1 — Critique,P2 — Haute,P3 — Moyenne,P4 — Basse"</formula1>
    </dataValidation>
    <dataValidation sqref="H22" showDropDown="0" showInputMessage="0" showErrorMessage="0" allowBlank="1" type="list">
      <formula1>"✅ Résolu,🔄 En cours,⏳ À faire,🚫 Abandonné"</formula1>
    </dataValidation>
    <dataValidation sqref="G22" showDropDown="0" showInputMessage="0" showErrorMessage="0" allowBlank="1" type="list">
      <formula1>"🔴 Critique,🟠 Majeure,🟡 Mineure,🟢 Cosmétique"</formula1>
    </dataValidation>
    <dataValidation sqref="F22" showDropDown="0" showInputMessage="0" showErrorMessage="0" allowBlank="1" type="list">
      <formula1>"P1 — Critique,P2 — Haute,P3 — Moyenne,P4 — Basse"</formula1>
    </dataValidation>
    <dataValidation sqref="H22" showDropDown="0" showInputMessage="0" showErrorMessage="0" allowBlank="1" type="list">
      <formula1>"✅ Résolu,🔄 En cours,⏳ À faire,🚫 Abandonné"</formula1>
    </dataValidation>
    <dataValidation sqref="G22" showDropDown="0" showInputMessage="0" showErrorMessage="0" allowBlank="1" type="list">
      <formula1>"🔴 Critique,🟠 Majeure,🟡 Mineure,🟢 Cosmétique"</formula1>
    </dataValidation>
    <dataValidation sqref="F22" showDropDown="0" showInputMessage="0" showErrorMessage="0" allowBlank="1" type="list">
      <formula1>"P1 — Critique,P2 — Haute,P3 — Moyenne,P4 — Basse"</formula1>
    </dataValidation>
    <dataValidation sqref="H22" showDropDown="0" showInputMessage="0" showErrorMessage="0" allowBlank="1" type="list">
      <formula1>"✅ Résolu,🔄 En cours,⏳ À faire,🚫 Abandonné"</formula1>
    </dataValidation>
    <dataValidation sqref="G22" showDropDown="0" showInputMessage="0" showErrorMessage="0" allowBlank="1" type="list">
      <formula1>"🔴 Critique,🟠 Majeure,🟡 Mineure,🟢 Cosmétique"</formula1>
    </dataValidation>
    <dataValidation sqref="F22" showDropDown="0" showInputMessage="0" showErrorMessage="0" allowBlank="1" type="list">
      <formula1>"P1 — Critique,P2 — Haute,P3 — Moyenne,P4 — Basse"</formula1>
    </dataValidation>
    <dataValidation sqref="H23" showDropDown="0" showInputMessage="0" showErrorMessage="0" allowBlank="1" type="list">
      <formula1>"✅ Résolu,🔄 En cours,⏳ À faire,🚫 Abandonné"</formula1>
    </dataValidation>
    <dataValidation sqref="G23" showDropDown="0" showInputMessage="0" showErrorMessage="0" allowBlank="1" type="list">
      <formula1>"🔴 Critique,🟠 Majeure,🟡 Mineure,🟢 Cosmétique"</formula1>
    </dataValidation>
    <dataValidation sqref="F23" showDropDown="0" showInputMessage="0" showErrorMessage="0" allowBlank="1" type="list">
      <formula1>"P1 — Critique,P2 — Haute,P3 — Moyenne,P4 — Basse"</formula1>
    </dataValidation>
    <dataValidation sqref="H23" showDropDown="0" showInputMessage="0" showErrorMessage="0" allowBlank="1" type="list">
      <formula1>"✅ Résolu,🔄 En cours,⏳ À faire,🚫 Abandonné"</formula1>
    </dataValidation>
    <dataValidation sqref="G23" showDropDown="0" showInputMessage="0" showErrorMessage="0" allowBlank="1" type="list">
      <formula1>"🔴 Critique,🟠 Majeure,🟡 Mineure,🟢 Cosmétique"</formula1>
    </dataValidation>
    <dataValidation sqref="F23" showDropDown="0" showInputMessage="0" showErrorMessage="0" allowBlank="1" type="list">
      <formula1>"P1 — Critique,P2 — Haute,P3 — Moyenne,P4 — Basse"</formula1>
    </dataValidation>
    <dataValidation sqref="H23" showDropDown="0" showInputMessage="0" showErrorMessage="0" allowBlank="1" type="list">
      <formula1>"✅ Résolu,🔄 En cours,⏳ À faire,🚫 Abandonné"</formula1>
    </dataValidation>
    <dataValidation sqref="G23" showDropDown="0" showInputMessage="0" showErrorMessage="0" allowBlank="1" type="list">
      <formula1>"🔴 Critique,🟠 Majeure,🟡 Mineure,🟢 Cosmétique"</formula1>
    </dataValidation>
    <dataValidation sqref="F23" showDropDown="0" showInputMessage="0" showErrorMessage="0" allowBlank="1" type="list">
      <formula1>"P1 — Critique,P2 — Haute,P3 — Moyenne,P4 — Basse"</formula1>
    </dataValidation>
    <dataValidation sqref="H23" showDropDown="0" showInputMessage="0" showErrorMessage="0" allowBlank="1" type="list">
      <formula1>"✅ Résolu,🔄 En cours,⏳ À faire,🚫 Abandonné"</formula1>
    </dataValidation>
    <dataValidation sqref="G23" showDropDown="0" showInputMessage="0" showErrorMessage="0" allowBlank="1" type="list">
      <formula1>"🔴 Critique,🟠 Majeure,🟡 Mineure,🟢 Cosmétique"</formula1>
    </dataValidation>
    <dataValidation sqref="F23" showDropDown="0" showInputMessage="0" showErrorMessage="0" allowBlank="1" type="list">
      <formula1>"P1 — Critique,P2 — Haute,P3 — Moyenne,P4 — Basse"</formula1>
    </dataValidation>
    <dataValidation sqref="H23" showDropDown="0" showInputMessage="0" showErrorMessage="0" allowBlank="1" type="list">
      <formula1>"✅ Résolu,🔄 En cours,⏳ À faire,🚫 Abandonné"</formula1>
    </dataValidation>
    <dataValidation sqref="G23" showDropDown="0" showInputMessage="0" showErrorMessage="0" allowBlank="1" type="list">
      <formula1>"🔴 Critique,🟠 Majeure,🟡 Mineure,🟢 Cosmétique"</formula1>
    </dataValidation>
    <dataValidation sqref="F23" showDropDown="0" showInputMessage="0" showErrorMessage="0" allowBlank="1" type="list">
      <formula1>"P1 — Critique,P2 — Haute,P3 — Moyenne,P4 — Basse"</formula1>
    </dataValidation>
    <dataValidation sqref="H23" showDropDown="0" showInputMessage="0" showErrorMessage="0" allowBlank="1" type="list">
      <formula1>"✅ Résolu,🔄 En cours,⏳ À faire,🚫 Abandonné"</formula1>
    </dataValidation>
    <dataValidation sqref="G23" showDropDown="0" showInputMessage="0" showErrorMessage="0" allowBlank="1" type="list">
      <formula1>"🔴 Critique,🟠 Majeure,🟡 Mineure,🟢 Cosmétique"</formula1>
    </dataValidation>
    <dataValidation sqref="F23" showDropDown="0" showInputMessage="0" showErrorMessage="0" allowBlank="1" type="list">
      <formula1>"P1 — Critique,P2 — Haute,P3 — Moyenne,P4 — Basse"</formula1>
    </dataValidation>
    <dataValidation sqref="H23" showDropDown="0" showInputMessage="0" showErrorMessage="0" allowBlank="1" type="list">
      <formula1>"✅ Résolu,🔄 En cours,⏳ À faire,🚫 Abandonné"</formula1>
    </dataValidation>
    <dataValidation sqref="G23" showDropDown="0" showInputMessage="0" showErrorMessage="0" allowBlank="1" type="list">
      <formula1>"🔴 Critique,🟠 Majeure,🟡 Mineure,🟢 Cosmétique"</formula1>
    </dataValidation>
    <dataValidation sqref="F23" showDropDown="0" showInputMessage="0" showErrorMessage="0" allowBlank="1" type="list">
      <formula1>"P1 — Critique,P2 — Haute,P3 — Moyenne,P4 — Basse"</formula1>
    </dataValidation>
    <dataValidation sqref="H23" showDropDown="0" showInputMessage="0" showErrorMessage="0" allowBlank="1" type="list">
      <formula1>"✅ Résolu,🔄 En cours,⏳ À faire,🚫 Abandonné"</formula1>
    </dataValidation>
    <dataValidation sqref="G23" showDropDown="0" showInputMessage="0" showErrorMessage="0" allowBlank="1" type="list">
      <formula1>"🔴 Critique,🟠 Majeure,🟡 Mineure,🟢 Cosmétique"</formula1>
    </dataValidation>
    <dataValidation sqref="F23" showDropDown="0" showInputMessage="0" showErrorMessage="0" allowBlank="1" type="list">
      <formula1>"P1 — Critique,P2 — Haute,P3 — Moyenne,P4 — Basse"</formula1>
    </dataValidation>
    <dataValidation sqref="H23" showDropDown="0" showInputMessage="0" showErrorMessage="0" allowBlank="1" type="list">
      <formula1>"✅ Résolu,🔄 En cours,⏳ À faire,🚫 Abandonné"</formula1>
    </dataValidation>
    <dataValidation sqref="G23" showDropDown="0" showInputMessage="0" showErrorMessage="0" allowBlank="1" type="list">
      <formula1>"🔴 Critique,🟠 Majeure,🟡 Mineure,🟢 Cosmétique"</formula1>
    </dataValidation>
    <dataValidation sqref="F23" showDropDown="0" showInputMessage="0" showErrorMessage="0" allowBlank="1" type="list">
      <formula1>"P1 — Critique,P2 — Haute,P3 — Moyenne,P4 — Basse"</formula1>
    </dataValidation>
    <dataValidation sqref="H23" showDropDown="0" showInputMessage="0" showErrorMessage="0" allowBlank="1" type="list">
      <formula1>"✅ Résolu,🔄 En cours,⏳ À faire,🚫 Abandonné"</formula1>
    </dataValidation>
    <dataValidation sqref="G23" showDropDown="0" showInputMessage="0" showErrorMessage="0" allowBlank="1" type="list">
      <formula1>"🔴 Critique,🟠 Majeure,🟡 Mineure,🟢 Cosmétique"</formula1>
    </dataValidation>
    <dataValidation sqref="F23" showDropDown="0" showInputMessage="0" showErrorMessage="0" allowBlank="1" type="list">
      <formula1>"P1 — Critique,P2 — Haute,P3 — Moyenne,P4 — Basse"</formula1>
    </dataValidation>
    <dataValidation sqref="H23" showDropDown="0" showInputMessage="0" showErrorMessage="0" allowBlank="1" type="list">
      <formula1>"✅ Résolu,🔄 En cours,⏳ À faire,🚫 Abandonné"</formula1>
    </dataValidation>
    <dataValidation sqref="G23" showDropDown="0" showInputMessage="0" showErrorMessage="0" allowBlank="1" type="list">
      <formula1>"🔴 Critique,🟠 Majeure,🟡 Mineure,🟢 Cosmétique"</formula1>
    </dataValidation>
    <dataValidation sqref="F23" showDropDown="0" showInputMessage="0" showErrorMessage="0" allowBlank="1" type="list">
      <formula1>"P1 — Critique,P2 — Haute,P3 — Moyenne,P4 — Basse"</formula1>
    </dataValidation>
    <dataValidation sqref="H23" showDropDown="0" showInputMessage="0" showErrorMessage="0" allowBlank="1" type="list">
      <formula1>"✅ Résolu,🔄 En cours,⏳ À faire,🚫 Abandonné"</formula1>
    </dataValidation>
    <dataValidation sqref="G23" showDropDown="0" showInputMessage="0" showErrorMessage="0" allowBlank="1" type="list">
      <formula1>"🔴 Critique,🟠 Majeure,🟡 Mineure,🟢 Cosmétique"</formula1>
    </dataValidation>
    <dataValidation sqref="F23" showDropDown="0" showInputMessage="0" showErrorMessage="0" allowBlank="1" type="list">
      <formula1>"P1 — Critique,P2 — Haute,P3 — Moyenne,P4 — Basse"</formula1>
    </dataValidation>
    <dataValidation sqref="H24" showDropDown="0" showInputMessage="0" showErrorMessage="0" allowBlank="1" type="list">
      <formula1>"✅ Résolu,🔄 En cours,⏳ À faire,🚫 Abandonné"</formula1>
    </dataValidation>
    <dataValidation sqref="G24" showDropDown="0" showInputMessage="0" showErrorMessage="0" allowBlank="1" type="list">
      <formula1>"🔴 Critique,🟠 Majeure,🟡 Mineure,🟢 Cosmétique"</formula1>
    </dataValidation>
    <dataValidation sqref="F24" showDropDown="0" showInputMessage="0" showErrorMessage="0" allowBlank="1" type="list">
      <formula1>"P1 — Critique,P2 — Haute,P3 — Moyenne,P4 — Basse"</formula1>
    </dataValidation>
    <dataValidation sqref="H24" showDropDown="0" showInputMessage="0" showErrorMessage="0" allowBlank="1" type="list">
      <formula1>"✅ Résolu,🔄 En cours,⏳ À faire,🚫 Abandonné"</formula1>
    </dataValidation>
    <dataValidation sqref="G24" showDropDown="0" showInputMessage="0" showErrorMessage="0" allowBlank="1" type="list">
      <formula1>"🔴 Critique,🟠 Majeure,🟡 Mineure,🟢 Cosmétique"</formula1>
    </dataValidation>
    <dataValidation sqref="F24" showDropDown="0" showInputMessage="0" showErrorMessage="0" allowBlank="1" type="list">
      <formula1>"P1 — Critique,P2 — Haute,P3 — Moyenne,P4 — Basse"</formula1>
    </dataValidation>
    <dataValidation sqref="H24" showDropDown="0" showInputMessage="0" showErrorMessage="0" allowBlank="1" type="list">
      <formula1>"✅ Résolu,🔄 En cours,⏳ À faire,🚫 Abandonné"</formula1>
    </dataValidation>
    <dataValidation sqref="G24" showDropDown="0" showInputMessage="0" showErrorMessage="0" allowBlank="1" type="list">
      <formula1>"🔴 Critique,🟠 Majeure,🟡 Mineure,🟢 Cosmétique"</formula1>
    </dataValidation>
    <dataValidation sqref="F24" showDropDown="0" showInputMessage="0" showErrorMessage="0" allowBlank="1" type="list">
      <formula1>"P1 — Critique,P2 — Haute,P3 — Moyenne,P4 — Basse"</formula1>
    </dataValidation>
    <dataValidation sqref="H24" showDropDown="0" showInputMessage="0" showErrorMessage="0" allowBlank="1" type="list">
      <formula1>"✅ Résolu,🔄 En cours,⏳ À faire,🚫 Abandonné"</formula1>
    </dataValidation>
    <dataValidation sqref="G24" showDropDown="0" showInputMessage="0" showErrorMessage="0" allowBlank="1" type="list">
      <formula1>"🔴 Critique,🟠 Majeure,🟡 Mineure,🟢 Cosmétique"</formula1>
    </dataValidation>
    <dataValidation sqref="F24" showDropDown="0" showInputMessage="0" showErrorMessage="0" allowBlank="1" type="list">
      <formula1>"P1 — Critique,P2 — Haute,P3 — Moyenne,P4 — Basse"</formula1>
    </dataValidation>
    <dataValidation sqref="H24" showDropDown="0" showInputMessage="0" showErrorMessage="0" allowBlank="1" type="list">
      <formula1>"✅ Résolu,🔄 En cours,⏳ À faire,🚫 Abandonné"</formula1>
    </dataValidation>
    <dataValidation sqref="G24" showDropDown="0" showInputMessage="0" showErrorMessage="0" allowBlank="1" type="list">
      <formula1>"🔴 Critique,🟠 Majeure,🟡 Mineure,🟢 Cosmétique"</formula1>
    </dataValidation>
    <dataValidation sqref="F24" showDropDown="0" showInputMessage="0" showErrorMessage="0" allowBlank="1" type="list">
      <formula1>"P1 — Critique,P2 — Haute,P3 — Moyenne,P4 — Basse"</formula1>
    </dataValidation>
    <dataValidation sqref="H24" showDropDown="0" showInputMessage="0" showErrorMessage="0" allowBlank="1" type="list">
      <formula1>"✅ Résolu,🔄 En cours,⏳ À faire,🚫 Abandonné"</formula1>
    </dataValidation>
    <dataValidation sqref="G24" showDropDown="0" showInputMessage="0" showErrorMessage="0" allowBlank="1" type="list">
      <formula1>"🔴 Critique,🟠 Majeure,🟡 Mineure,🟢 Cosmétique"</formula1>
    </dataValidation>
    <dataValidation sqref="F24" showDropDown="0" showInputMessage="0" showErrorMessage="0" allowBlank="1" type="list">
      <formula1>"P1 — Critique,P2 — Haute,P3 — Moyenne,P4 — Basse"</formula1>
    </dataValidation>
    <dataValidation sqref="H24" showDropDown="0" showInputMessage="0" showErrorMessage="0" allowBlank="1" type="list">
      <formula1>"✅ Résolu,🔄 En cours,⏳ À faire,🚫 Abandonné"</formula1>
    </dataValidation>
    <dataValidation sqref="G24" showDropDown="0" showInputMessage="0" showErrorMessage="0" allowBlank="1" type="list">
      <formula1>"🔴 Critique,🟠 Majeure,🟡 Mineure,🟢 Cosmétique"</formula1>
    </dataValidation>
    <dataValidation sqref="F24" showDropDown="0" showInputMessage="0" showErrorMessage="0" allowBlank="1" type="list">
      <formula1>"P1 — Critique,P2 — Haute,P3 — Moyenne,P4 — Basse"</formula1>
    </dataValidation>
    <dataValidation sqref="H24" showDropDown="0" showInputMessage="0" showErrorMessage="0" allowBlank="1" type="list">
      <formula1>"✅ Résolu,🔄 En cours,⏳ À faire,🚫 Abandonné"</formula1>
    </dataValidation>
    <dataValidation sqref="G24" showDropDown="0" showInputMessage="0" showErrorMessage="0" allowBlank="1" type="list">
      <formula1>"🔴 Critique,🟠 Majeure,🟡 Mineure,🟢 Cosmétique"</formula1>
    </dataValidation>
    <dataValidation sqref="F24" showDropDown="0" showInputMessage="0" showErrorMessage="0" allowBlank="1" type="list">
      <formula1>"P1 — Critique,P2 — Haute,P3 — Moyenne,P4 — Basse"</formula1>
    </dataValidation>
    <dataValidation sqref="H24" showDropDown="0" showInputMessage="0" showErrorMessage="0" allowBlank="1" type="list">
      <formula1>"✅ Résolu,🔄 En cours,⏳ À faire,🚫 Abandonné"</formula1>
    </dataValidation>
    <dataValidation sqref="G24" showDropDown="0" showInputMessage="0" showErrorMessage="0" allowBlank="1" type="list">
      <formula1>"🔴 Critique,🟠 Majeure,🟡 Mineure,🟢 Cosmétique"</formula1>
    </dataValidation>
    <dataValidation sqref="F24" showDropDown="0" showInputMessage="0" showErrorMessage="0" allowBlank="1" type="list">
      <formula1>"P1 — Critique,P2 — Haute,P3 — Moyenne,P4 — Basse"</formula1>
    </dataValidation>
    <dataValidation sqref="H24" showDropDown="0" showInputMessage="0" showErrorMessage="0" allowBlank="1" type="list">
      <formula1>"✅ Résolu,🔄 En cours,⏳ À faire,🚫 Abandonné"</formula1>
    </dataValidation>
    <dataValidation sqref="G24" showDropDown="0" showInputMessage="0" showErrorMessage="0" allowBlank="1" type="list">
      <formula1>"🔴 Critique,🟠 Majeure,🟡 Mineure,🟢 Cosmétique"</formula1>
    </dataValidation>
    <dataValidation sqref="F24" showDropDown="0" showInputMessage="0" showErrorMessage="0" allowBlank="1" type="list">
      <formula1>"P1 — Critique,P2 — Haute,P3 — Moyenne,P4 — Basse"</formula1>
    </dataValidation>
    <dataValidation sqref="H24" showDropDown="0" showInputMessage="0" showErrorMessage="0" allowBlank="1" type="list">
      <formula1>"✅ Résolu,🔄 En cours,⏳ À faire,🚫 Abandonné"</formula1>
    </dataValidation>
    <dataValidation sqref="G24" showDropDown="0" showInputMessage="0" showErrorMessage="0" allowBlank="1" type="list">
      <formula1>"🔴 Critique,🟠 Majeure,🟡 Mineure,🟢 Cosmétique"</formula1>
    </dataValidation>
    <dataValidation sqref="F24" showDropDown="0" showInputMessage="0" showErrorMessage="0" allowBlank="1" type="list">
      <formula1>"P1 — Critique,P2 — Haute,P3 — Moyenne,P4 — Basse"</formula1>
    </dataValidation>
    <dataValidation sqref="H24" showDropDown="0" showInputMessage="0" showErrorMessage="0" allowBlank="1" type="list">
      <formula1>"✅ Résolu,🔄 En cours,⏳ À faire,🚫 Abandonné"</formula1>
    </dataValidation>
    <dataValidation sqref="G24" showDropDown="0" showInputMessage="0" showErrorMessage="0" allowBlank="1" type="list">
      <formula1>"🔴 Critique,🟠 Majeure,🟡 Mineure,🟢 Cosmétique"</formula1>
    </dataValidation>
    <dataValidation sqref="F24" showDropDown="0" showInputMessage="0" showErrorMessage="0" allowBlank="1" type="list">
      <formula1>"P1 — Critique,P2 — Haute,P3 — Moyenne,P4 — Basse"</formula1>
    </dataValidation>
    <dataValidation sqref="H25" showDropDown="0" showInputMessage="0" showErrorMessage="0" allowBlank="1" type="list">
      <formula1>"✅ Résolu,🔄 En cours,⏳ À faire,🚫 Abandonné"</formula1>
    </dataValidation>
    <dataValidation sqref="G25" showDropDown="0" showInputMessage="0" showErrorMessage="0" allowBlank="1" type="list">
      <formula1>"🔴 Critique,🟠 Majeure,🟡 Mineure,🟢 Cosmétique"</formula1>
    </dataValidation>
    <dataValidation sqref="F25" showDropDown="0" showInputMessage="0" showErrorMessage="0" allowBlank="1" type="list">
      <formula1>"P1 — Critique,P2 — Haute,P3 — Moyenne,P4 — Basse"</formula1>
    </dataValidation>
    <dataValidation sqref="H25" showDropDown="0" showInputMessage="0" showErrorMessage="0" allowBlank="1" type="list">
      <formula1>"✅ Résolu,🔄 En cours,⏳ À faire,🚫 Abandonné"</formula1>
    </dataValidation>
    <dataValidation sqref="G25" showDropDown="0" showInputMessage="0" showErrorMessage="0" allowBlank="1" type="list">
      <formula1>"🔴 Critique,🟠 Majeure,🟡 Mineure,🟢 Cosmétique"</formula1>
    </dataValidation>
    <dataValidation sqref="F25" showDropDown="0" showInputMessage="0" showErrorMessage="0" allowBlank="1" type="list">
      <formula1>"P1 — Critique,P2 — Haute,P3 — Moyenne,P4 — Basse"</formula1>
    </dataValidation>
    <dataValidation sqref="H25" showDropDown="0" showInputMessage="0" showErrorMessage="0" allowBlank="1" type="list">
      <formula1>"✅ Résolu,🔄 En cours,⏳ À faire,🚫 Abandonné"</formula1>
    </dataValidation>
    <dataValidation sqref="G25" showDropDown="0" showInputMessage="0" showErrorMessage="0" allowBlank="1" type="list">
      <formula1>"🔴 Critique,🟠 Majeure,🟡 Mineure,🟢 Cosmétique"</formula1>
    </dataValidation>
    <dataValidation sqref="F25" showDropDown="0" showInputMessage="0" showErrorMessage="0" allowBlank="1" type="list">
      <formula1>"P1 — Critique,P2 — Haute,P3 — Moyenne,P4 — Basse"</formula1>
    </dataValidation>
    <dataValidation sqref="H25" showDropDown="0" showInputMessage="0" showErrorMessage="0" allowBlank="1" type="list">
      <formula1>"✅ Résolu,🔄 En cours,⏳ À faire,🚫 Abandonné"</formula1>
    </dataValidation>
    <dataValidation sqref="G25" showDropDown="0" showInputMessage="0" showErrorMessage="0" allowBlank="1" type="list">
      <formula1>"🔴 Critique,🟠 Majeure,🟡 Mineure,🟢 Cosmétique"</formula1>
    </dataValidation>
    <dataValidation sqref="F25" showDropDown="0" showInputMessage="0" showErrorMessage="0" allowBlank="1" type="list">
      <formula1>"P1 — Critique,P2 — Haute,P3 — Moyenne,P4 — Basse"</formula1>
    </dataValidation>
    <dataValidation sqref="H25" showDropDown="0" showInputMessage="0" showErrorMessage="0" allowBlank="1" type="list">
      <formula1>"✅ Résolu,🔄 En cours,⏳ À faire,🚫 Abandonné"</formula1>
    </dataValidation>
    <dataValidation sqref="G25" showDropDown="0" showInputMessage="0" showErrorMessage="0" allowBlank="1" type="list">
      <formula1>"🔴 Critique,🟠 Majeure,🟡 Mineure,🟢 Cosmétique"</formula1>
    </dataValidation>
    <dataValidation sqref="F25" showDropDown="0" showInputMessage="0" showErrorMessage="0" allowBlank="1" type="list">
      <formula1>"P1 — Critique,P2 — Haute,P3 — Moyenne,P4 — Basse"</formula1>
    </dataValidation>
    <dataValidation sqref="H25" showDropDown="0" showInputMessage="0" showErrorMessage="0" allowBlank="1" type="list">
      <formula1>"✅ Résolu,🔄 En cours,⏳ À faire,🚫 Abandonné"</formula1>
    </dataValidation>
    <dataValidation sqref="G25" showDropDown="0" showInputMessage="0" showErrorMessage="0" allowBlank="1" type="list">
      <formula1>"🔴 Critique,🟠 Majeure,🟡 Mineure,🟢 Cosmétique"</formula1>
    </dataValidation>
    <dataValidation sqref="F25" showDropDown="0" showInputMessage="0" showErrorMessage="0" allowBlank="1" type="list">
      <formula1>"P1 — Critique,P2 — Haute,P3 — Moyenne,P4 — Basse"</formula1>
    </dataValidation>
    <dataValidation sqref="H25" showDropDown="0" showInputMessage="0" showErrorMessage="0" allowBlank="1" type="list">
      <formula1>"✅ Résolu,🔄 En cours,⏳ À faire,🚫 Abandonné"</formula1>
    </dataValidation>
    <dataValidation sqref="G25" showDropDown="0" showInputMessage="0" showErrorMessage="0" allowBlank="1" type="list">
      <formula1>"🔴 Critique,🟠 Majeure,🟡 Mineure,🟢 Cosmétique"</formula1>
    </dataValidation>
    <dataValidation sqref="F25" showDropDown="0" showInputMessage="0" showErrorMessage="0" allowBlank="1" type="list">
      <formula1>"P1 — Critique,P2 — Haute,P3 — Moyenne,P4 — Basse"</formula1>
    </dataValidation>
    <dataValidation sqref="H25" showDropDown="0" showInputMessage="0" showErrorMessage="0" allowBlank="1" type="list">
      <formula1>"✅ Résolu,🔄 En cours,⏳ À faire,🚫 Abandonné"</formula1>
    </dataValidation>
    <dataValidation sqref="G25" showDropDown="0" showInputMessage="0" showErrorMessage="0" allowBlank="1" type="list">
      <formula1>"🔴 Critique,🟠 Majeure,🟡 Mineure,🟢 Cosmétique"</formula1>
    </dataValidation>
    <dataValidation sqref="F25" showDropDown="0" showInputMessage="0" showErrorMessage="0" allowBlank="1" type="list">
      <formula1>"P1 — Critique,P2 — Haute,P3 — Moyenne,P4 — Basse"</formula1>
    </dataValidation>
    <dataValidation sqref="H25" showDropDown="0" showInputMessage="0" showErrorMessage="0" allowBlank="1" type="list">
      <formula1>"✅ Résolu,🔄 En cours,⏳ À faire,🚫 Abandonné"</formula1>
    </dataValidation>
    <dataValidation sqref="G25" showDropDown="0" showInputMessage="0" showErrorMessage="0" allowBlank="1" type="list">
      <formula1>"🔴 Critique,🟠 Majeure,🟡 Mineure,🟢 Cosmétique"</formula1>
    </dataValidation>
    <dataValidation sqref="F25" showDropDown="0" showInputMessage="0" showErrorMessage="0" allowBlank="1" type="list">
      <formula1>"P1 — Critique,P2 — Haute,P3 — Moyenne,P4 — Basse"</formula1>
    </dataValidation>
    <dataValidation sqref="H25" showDropDown="0" showInputMessage="0" showErrorMessage="0" allowBlank="1" type="list">
      <formula1>"✅ Résolu,🔄 En cours,⏳ À faire,🚫 Abandonné"</formula1>
    </dataValidation>
    <dataValidation sqref="G25" showDropDown="0" showInputMessage="0" showErrorMessage="0" allowBlank="1" type="list">
      <formula1>"🔴 Critique,🟠 Majeure,🟡 Mineure,🟢 Cosmétique"</formula1>
    </dataValidation>
    <dataValidation sqref="F25" showDropDown="0" showInputMessage="0" showErrorMessage="0" allowBlank="1" type="list">
      <formula1>"P1 — Critique,P2 — Haute,P3 — Moyenne,P4 — Basse"</formula1>
    </dataValidation>
    <dataValidation sqref="H25" showDropDown="0" showInputMessage="0" showErrorMessage="0" allowBlank="1" type="list">
      <formula1>"✅ Résolu,🔄 En cours,⏳ À faire,🚫 Abandonné"</formula1>
    </dataValidation>
    <dataValidation sqref="G25" showDropDown="0" showInputMessage="0" showErrorMessage="0" allowBlank="1" type="list">
      <formula1>"🔴 Critique,🟠 Majeure,🟡 Mineure,🟢 Cosmétique"</formula1>
    </dataValidation>
    <dataValidation sqref="F25" showDropDown="0" showInputMessage="0" showErrorMessage="0" allowBlank="1" type="list">
      <formula1>"P1 — Critique,P2 — Haute,P3 — Moyenne,P4 — Basse"</formula1>
    </dataValidation>
    <dataValidation sqref="H25" showDropDown="0" showInputMessage="0" showErrorMessage="0" allowBlank="1" type="list">
      <formula1>"✅ Résolu,🔄 En cours,⏳ À faire,🚫 Abandonné"</formula1>
    </dataValidation>
    <dataValidation sqref="G25" showDropDown="0" showInputMessage="0" showErrorMessage="0" allowBlank="1" type="list">
      <formula1>"🔴 Critique,🟠 Majeure,🟡 Mineure,🟢 Cosmétique"</formula1>
    </dataValidation>
    <dataValidation sqref="F25" showDropDown="0" showInputMessage="0" showErrorMessage="0" allowBlank="1" type="list">
      <formula1>"P1 — Critique,P2 — Haute,P3 — Moyenne,P4 — Basse"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2026-05-15T17:16:46Z</dcterms:created>
  <dcterms:modified xmlns:dcterms="http://purl.org/dc/terms/" xmlns:xsi="http://www.w3.org/2001/XMLSchema-instance" xsi:type="dcterms:W3CDTF">2026-05-15T17:16:47Z</dcterms:modified>
</cp:coreProperties>
</file>